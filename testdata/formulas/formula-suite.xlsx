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Oth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<sst xmlns="http://schemas.openxmlformats.org/spreadsheetml/2006/main" count="875" uniqueCount="861">
  <si>
    <t xml:space="preserve">apple</t>
  </si>
  <si>
    <t xml:space="preserve">one hundred</t>
  </si>
  <si>
    <t xml:space="preserve">=SUM(1,2,3)</t>
  </si>
  <si>
    <t xml:space="preserve">banana</t>
  </si>
  <si>
    <t xml:space="preserve">two hundred</t>
  </si>
  <si>
    <t xml:space="preserve">=SUM(A1:A6)</t>
  </si>
  <si>
    <t xml:space="preserve">cherry</t>
  </si>
  <si>
    <t xml:space="preserve">three hundred</t>
  </si>
  <si>
    <t xml:space="preserve">=SUM(C1:C6)</t>
  </si>
  <si>
    <t xml:space="preserve">date</t>
  </si>
  <si>
    <t xml:space="preserve">four hundred</t>
  </si>
  <si>
    <t xml:space="preserve">=SUM(D1:D6)</t>
  </si>
  <si>
    <t xml:space="preserve">elderberry</t>
  </si>
  <si>
    <t xml:space="preserve">42</t>
  </si>
  <si>
    <t xml:space="preserve">=SUM(B1:B3)</t>
  </si>
  <si>
    <t xml:space="preserve">fig</t>
  </si>
  <si>
    <t xml:space="preserve">  padded  </t>
  </si>
  <si>
    <t xml:space="preserve">=SUM("3",4)</t>
  </si>
  <si>
    <t xml:space="preserve">=SUM(TRUE,1)</t>
  </si>
  <si>
    <t xml:space="preserve">=SUM(A1:A3,H1)</t>
  </si>
  <si>
    <t xml:space="preserve">=SUM(H1:H2)</t>
  </si>
  <si>
    <t xml:space="preserve">=SUM(A1:A2,D4)</t>
  </si>
  <si>
    <t xml:space="preserve">=AVERAGE(A1:A6)</t>
  </si>
  <si>
    <t xml:space="preserve">=AVERAGE(C1:C4)</t>
  </si>
  <si>
    <t xml:space="preserve">=AVERAGE(B1:B3)</t>
  </si>
  <si>
    <t xml:space="preserve">=AVERAGE(A1,H1)</t>
  </si>
  <si>
    <t xml:space="preserve">=AVERAGE(D1:D6)</t>
  </si>
  <si>
    <t xml:space="preserve">=AVERAGE(1,"3")</t>
  </si>
  <si>
    <t xml:space="preserve">=AVERAGE(A1:A2,D4)</t>
  </si>
  <si>
    <t xml:space="preserve">=AVERAGE(0,0)</t>
  </si>
  <si>
    <t xml:space="preserve">=MIN(C1:C6)</t>
  </si>
  <si>
    <t xml:space="preserve">=MIN(1,2,-3)</t>
  </si>
  <si>
    <t xml:space="preserve">=MIN(B1:B3)</t>
  </si>
  <si>
    <t xml:space="preserve">=MIN(A1:A3,H1)</t>
  </si>
  <si>
    <t xml:space="preserve">=MIN(D1:D2)</t>
  </si>
  <si>
    <t xml:space="preserve">=MIN(TRUE,5)</t>
  </si>
  <si>
    <t xml:space="preserve">=MIN(C1:C3,D4)</t>
  </si>
  <si>
    <t xml:space="preserve">=MAX(C1:C6)</t>
  </si>
  <si>
    <t xml:space="preserve">=MAX(-5,-2)</t>
  </si>
  <si>
    <t xml:space="preserve">=MAX(B1:B3)</t>
  </si>
  <si>
    <t xml:space="preserve">=MAX(H2,1)</t>
  </si>
  <si>
    <t xml:space="preserve">=MAX(D4,-1)</t>
  </si>
  <si>
    <t xml:space="preserve">=MAX(A1:A6,"x")</t>
  </si>
  <si>
    <t xml:space="preserve">=MAX(-3,D4)</t>
  </si>
  <si>
    <t xml:space="preserve">=COUNT(A1:A6)</t>
  </si>
  <si>
    <t xml:space="preserve">=COUNT(A1:D6)</t>
  </si>
  <si>
    <t xml:space="preserve">=COUNT(1,"a",TRUE)</t>
  </si>
  <si>
    <t xml:space="preserve">=COUNT(B1:B6)</t>
  </si>
  <si>
    <t xml:space="preserve">=COUNT(H1:H2)</t>
  </si>
  <si>
    <t xml:space="preserve">=COUNT(D1:D6)</t>
  </si>
  <si>
    <t xml:space="preserve">=COUNT(E1:E4)</t>
  </si>
  <si>
    <t xml:space="preserve">=COUNT("5")</t>
  </si>
  <si>
    <t xml:space="preserve">=COUNT(A1,H1)</t>
  </si>
  <si>
    <t xml:space="preserve">=COUNTA(A1:D6)</t>
  </si>
  <si>
    <t xml:space="preserve">=COUNTA(D1:D6)</t>
  </si>
  <si>
    <t xml:space="preserve">=COUNTA(H1:H2)</t>
  </si>
  <si>
    <t xml:space="preserve">=COUNTA(D4)</t>
  </si>
  <si>
    <t xml:space="preserve">=COUNTA(D3)</t>
  </si>
  <si>
    <t xml:space="preserve">=COUNTA(1,"",TRUE)</t>
  </si>
  <si>
    <t xml:space="preserve">=ROUND(2.5,0)</t>
  </si>
  <si>
    <t xml:space="preserve">=ROUND(-2.5,0)</t>
  </si>
  <si>
    <t xml:space="preserve">=ROUND(1234.5678,2)</t>
  </si>
  <si>
    <t xml:space="preserve">=ROUND(1234.5678,-2)</t>
  </si>
  <si>
    <t xml:space="preserve">=ROUND(C1,0)</t>
  </si>
  <si>
    <t xml:space="preserve">=ROUND(H1,0)</t>
  </si>
  <si>
    <t xml:space="preserve">=ROUND("3.7",0)</t>
  </si>
  <si>
    <t xml:space="preserve">=ROUND(D4,2)</t>
  </si>
  <si>
    <t xml:space="preserve">=ROUND(C5,1)</t>
  </si>
  <si>
    <t xml:space="preserve">=ROUND(2.675,2)</t>
  </si>
  <si>
    <t xml:space="preserve">=ROUND(B1,0)</t>
  </si>
  <si>
    <t xml:space="preserve">=ROUNDUP(2.1,0)</t>
  </si>
  <si>
    <t xml:space="preserve">=ROUNDUP(-2.1,0)</t>
  </si>
  <si>
    <t xml:space="preserve">=ROUNDUP(3.14159,3)</t>
  </si>
  <si>
    <t xml:space="preserve">=ROUNDUP(C1,0)</t>
  </si>
  <si>
    <t xml:space="preserve">=ROUNDUP(0,0)</t>
  </si>
  <si>
    <t xml:space="preserve">=ROUNDUP(H1,1)</t>
  </si>
  <si>
    <t xml:space="preserve">=ROUNDUP(1234,-2)</t>
  </si>
  <si>
    <t xml:space="preserve">=ROUNDUP(A1:A1,0)</t>
  </si>
  <si>
    <t xml:space="preserve">=ROUNDDOWN(2.9,0)</t>
  </si>
  <si>
    <t xml:space="preserve">=ROUNDDOWN(-2.9,0)</t>
  </si>
  <si>
    <t xml:space="preserve">=ROUNDDOWN(3.14159,3)</t>
  </si>
  <si>
    <t xml:space="preserve">=ROUNDDOWN(C5,1)</t>
  </si>
  <si>
    <t xml:space="preserve">=ROUNDDOWN(1999,-3)</t>
  </si>
  <si>
    <t xml:space="preserve">=ROUNDDOWN(H1,0)</t>
  </si>
  <si>
    <t xml:space="preserve">=ROUNDDOWN(D4,0)</t>
  </si>
  <si>
    <t xml:space="preserve">=INT(2.7)</t>
  </si>
  <si>
    <t xml:space="preserve">=INT(-2.1)</t>
  </si>
  <si>
    <t xml:space="preserve">=INT(C1)</t>
  </si>
  <si>
    <t xml:space="preserve">=INT(C2)</t>
  </si>
  <si>
    <t xml:space="preserve">=INT(E3)</t>
  </si>
  <si>
    <t xml:space="preserve">=INT("7.9")</t>
  </si>
  <si>
    <t xml:space="preserve">=INT(H1)</t>
  </si>
  <si>
    <t xml:space="preserve">=INT(D4)</t>
  </si>
  <si>
    <t xml:space="preserve">=INT(TRUE)</t>
  </si>
  <si>
    <t xml:space="preserve">=INT(B1)</t>
  </si>
  <si>
    <t xml:space="preserve">=MOD(10,3)</t>
  </si>
  <si>
    <t xml:space="preserve">=MOD(-10,3)</t>
  </si>
  <si>
    <t xml:space="preserve">=MOD(10,-3)</t>
  </si>
  <si>
    <t xml:space="preserve">=MOD(5,0)</t>
  </si>
  <si>
    <t xml:space="preserve">=MOD(A6,A3)</t>
  </si>
  <si>
    <t xml:space="preserve">=MOD(C1,3)</t>
  </si>
  <si>
    <t xml:space="preserve">=MOD(H1,2)</t>
  </si>
  <si>
    <t xml:space="preserve">=MOD(3.5,1)</t>
  </si>
  <si>
    <t xml:space="preserve">=MOD(0,5)</t>
  </si>
  <si>
    <t xml:space="preserve">=MOD(D4,3)</t>
  </si>
  <si>
    <t xml:space="preserve">=ABS(-5)</t>
  </si>
  <si>
    <t xml:space="preserve">=ABS(C2)</t>
  </si>
  <si>
    <t xml:space="preserve">=ABS(0)</t>
  </si>
  <si>
    <t xml:space="preserve">=ABS(D4)</t>
  </si>
  <si>
    <t xml:space="preserve">=ABS(H1)</t>
  </si>
  <si>
    <t xml:space="preserve">=ABS("-3")</t>
  </si>
  <si>
    <t xml:space="preserve">=ABS(B1)</t>
  </si>
  <si>
    <t xml:space="preserve">=ABS(-0.5)</t>
  </si>
  <si>
    <t xml:space="preserve">=ABS(TRUE)</t>
  </si>
  <si>
    <t xml:space="preserve">=SQRT(16)</t>
  </si>
  <si>
    <t xml:space="preserve">=SQRT(2)</t>
  </si>
  <si>
    <t xml:space="preserve">=SQRT(-1)</t>
  </si>
  <si>
    <t xml:space="preserve">=SQRT(0)</t>
  </si>
  <si>
    <t xml:space="preserve">=SQRT(A4)</t>
  </si>
  <si>
    <t xml:space="preserve">=SQRT(H1)</t>
  </si>
  <si>
    <t xml:space="preserve">=SQRT("9")</t>
  </si>
  <si>
    <t xml:space="preserve">=SQRT(B1)</t>
  </si>
  <si>
    <t xml:space="preserve">=SQRT(C2*-1)</t>
  </si>
  <si>
    <t xml:space="preserve">=POWER(2,10)</t>
  </si>
  <si>
    <t xml:space="preserve">=POWER(2,-1)</t>
  </si>
  <si>
    <t xml:space="preserve">=POWER(0,0)</t>
  </si>
  <si>
    <t xml:space="preserve">=POWER(-8,1/3)</t>
  </si>
  <si>
    <t xml:space="preserve">=POWER(A3,A2)</t>
  </si>
  <si>
    <t xml:space="preserve">=POWER(H1,2)</t>
  </si>
  <si>
    <t xml:space="preserve">=POWER(0,-1)</t>
  </si>
  <si>
    <t xml:space="preserve">=POWER(4,0.5)</t>
  </si>
  <si>
    <t xml:space="preserve">=POWER(-2,3)</t>
  </si>
  <si>
    <t xml:space="preserve">=POWER(D4,2)</t>
  </si>
  <si>
    <t xml:space="preserve">=PI()</t>
  </si>
  <si>
    <t xml:space="preserve">=PI()*2</t>
  </si>
  <si>
    <t xml:space="preserve">=ROUND(PI(),2)</t>
  </si>
  <si>
    <t xml:space="preserve">=PI()+H1</t>
  </si>
  <si>
    <t xml:space="preserve">=PI()/PI()</t>
  </si>
  <si>
    <t xml:space="preserve">=C1*PI()</t>
  </si>
  <si>
    <t xml:space="preserve">=PRODUCT(1,2,3,4)</t>
  </si>
  <si>
    <t xml:space="preserve">=PRODUCT(A1:A6)</t>
  </si>
  <si>
    <t xml:space="preserve">=PRODUCT(B1:B3)</t>
  </si>
  <si>
    <t xml:space="preserve">=PRODUCT(A1:A3,H1)</t>
  </si>
  <si>
    <t xml:space="preserve">=PRODUCT(C1:C3)</t>
  </si>
  <si>
    <t xml:space="preserve">=PRODUCT(D4)</t>
  </si>
  <si>
    <t xml:space="preserve">=PRODUCT("2",3)</t>
  </si>
  <si>
    <t xml:space="preserve">=PRODUCT(A1:A2,D1:D2)</t>
  </si>
  <si>
    <t xml:space="preserve">=PRODUCT(C2,C2)</t>
  </si>
  <si>
    <t xml:space="preserve">=SUMIF(A1:A6,"&gt;3")</t>
  </si>
  <si>
    <t xml:space="preserve">=SUMIF(B1:B6,"apple",A1:A6)</t>
  </si>
  <si>
    <t xml:space="preserve">=SUMIF(C1:C6,"&lt;0")</t>
  </si>
  <si>
    <t xml:space="preserve">=SUMIF(B1:B6,"*e*",A1:A6)</t>
  </si>
  <si>
    <t xml:space="preserve">=SUMIF(A1:A6,"&gt;="&amp;A3)</t>
  </si>
  <si>
    <t xml:space="preserve">=SUMIF(B1:B6,"zzz",A1:A6)</t>
  </si>
  <si>
    <t xml:space="preserve">=SUMIF(A1:A6,"&lt;&gt;"&amp;H1)</t>
  </si>
  <si>
    <t xml:space="preserve">=SUMIF(H1:H2,"&gt;0")</t>
  </si>
  <si>
    <t xml:space="preserve">=SUMIF(D1:D6,TRUE,A1:A6)</t>
  </si>
  <si>
    <t xml:space="preserve">=SUMIF(A1:A6,"&gt;2",C1:C6)</t>
  </si>
  <si>
    <t xml:space="preserve">=SUMIF(B1:B6,"APPLE",A1:A6)</t>
  </si>
  <si>
    <t xml:space="preserve">=SUMIF(A1:A6,3)</t>
  </si>
  <si>
    <t xml:space="preserve">=COUNTIF(A1:A6,"&gt;3")</t>
  </si>
  <si>
    <t xml:space="preserve">=COUNTIF(B1:B6,"a*")</t>
  </si>
  <si>
    <t xml:space="preserve">=COUNTIF(B1:B6,"?????")</t>
  </si>
  <si>
    <t xml:space="preserve">=COUNTIF(A1:A6,3)</t>
  </si>
  <si>
    <t xml:space="preserve">=COUNTIF(D1:D6,"")</t>
  </si>
  <si>
    <t xml:space="preserve">=COUNTIF(B1:B6,"APPLE")</t>
  </si>
  <si>
    <t xml:space="preserve">=COUNTIF(A1:A6,"&lt;&gt;"&amp;H1)</t>
  </si>
  <si>
    <t xml:space="preserve">=COUNTIF(D1:D6,TRUE)</t>
  </si>
  <si>
    <t xml:space="preserve">=COUNTIF(D1:D6,42)</t>
  </si>
  <si>
    <t xml:space="preserve">=COUNTIF(H1:H2,"#N/A")</t>
  </si>
  <si>
    <t xml:space="preserve">=COUNTIF(C1:C6,"&lt;0")</t>
  </si>
  <si>
    <t xml:space="preserve">=COUNTIF(A1:A6,"&gt;="&amp;A3)</t>
  </si>
  <si>
    <t xml:space="preserve">=SUMPRODUCT(A1:A3,A1:A3)</t>
  </si>
  <si>
    <t xml:space="preserve">=SUMPRODUCT(A1:A3,C1:C3)</t>
  </si>
  <si>
    <t xml:space="preserve">=SUMPRODUCT(A1:A3,B1:B3)</t>
  </si>
  <si>
    <t xml:space="preserve">=SUMPRODUCT(A1:A3,A1:A2)</t>
  </si>
  <si>
    <t xml:space="preserve">=SUMPRODUCT(A1:A3,H1:H3)</t>
  </si>
  <si>
    <t xml:space="preserve">=SUMPRODUCT((A1:A6&gt;2)*(A1:A6&lt;5))</t>
  </si>
  <si>
    <t xml:space="preserve">=SUMPRODUCT(A1:A6)</t>
  </si>
  <si>
    <t xml:space="preserve">=SUMPRODUCT(A1:A2,D1:D2)</t>
  </si>
  <si>
    <t xml:space="preserve">=SUMPRODUCT(A1:A3*2)</t>
  </si>
  <si>
    <t xml:space="preserve">=CEILING(2.5,1)</t>
  </si>
  <si>
    <t xml:space="preserve">=CEILING(-2.5,-1)</t>
  </si>
  <si>
    <t xml:space="preserve">=CEILING(-2.5,1)</t>
  </si>
  <si>
    <t xml:space="preserve">=CEILING(2.1,0)</t>
  </si>
  <si>
    <t xml:space="preserve">=CEILING(C1,5)</t>
  </si>
  <si>
    <t xml:space="preserve">=CEILING(H1,1)</t>
  </si>
  <si>
    <t xml:space="preserve">=CEILING(2.5,-1)</t>
  </si>
  <si>
    <t xml:space="preserve">=CEILING(0,5)</t>
  </si>
  <si>
    <t xml:space="preserve">=CEILING(1.234,0.01)</t>
  </si>
  <si>
    <t xml:space="preserve">=CEILING(D4,3)</t>
  </si>
  <si>
    <t xml:space="preserve">=IF(TRUE,1,2)</t>
  </si>
  <si>
    <t xml:space="preserve">=IF(FALSE,1,2)</t>
  </si>
  <si>
    <t xml:space="preserve">=IF(0,"y","n")</t>
  </si>
  <si>
    <t xml:space="preserve">=IF(A1&gt;0,"pos","neg")</t>
  </si>
  <si>
    <t xml:space="preserve">=IF(D4,"y","n")</t>
  </si>
  <si>
    <t xml:space="preserve">=IF("TRUE",1,2)</t>
  </si>
  <si>
    <t xml:space="preserve">=IF(H1,1,2)</t>
  </si>
  <si>
    <t xml:space="preserve">=IF(FALSE,1)</t>
  </si>
  <si>
    <t xml:space="preserve">=IF(TRUE,1,1/0)</t>
  </si>
  <si>
    <t xml:space="preserve">=IF(FALSE,1/0,2)</t>
  </si>
  <si>
    <t xml:space="preserve">=IF(B1,1,2)</t>
  </si>
  <si>
    <t xml:space="preserve">=IF(C3,"y","n")</t>
  </si>
  <si>
    <t xml:space="preserve">=IF(A2,"y","n")</t>
  </si>
  <si>
    <t xml:space="preserve">=IF(1&gt;2,"a")</t>
  </si>
  <si>
    <t xml:space="preserve">=IF(D3="","empty","filled")</t>
  </si>
  <si>
    <t xml:space="preserve">=IF(D1,"yes","no")</t>
  </si>
  <si>
    <t xml:space="preserve">=AND(TRUE,TRUE)</t>
  </si>
  <si>
    <t xml:space="preserve">=AND(TRUE,FALSE)</t>
  </si>
  <si>
    <t xml:space="preserve">=AND(1,2)</t>
  </si>
  <si>
    <t xml:space="preserve">=AND(A1:A3)</t>
  </si>
  <si>
    <t xml:space="preserve">=AND(C1:C3)</t>
  </si>
  <si>
    <t xml:space="preserve">=AND(D1:D2)</t>
  </si>
  <si>
    <t xml:space="preserve">=AND(B1:B2)</t>
  </si>
  <si>
    <t xml:space="preserve">=AND(D4)</t>
  </si>
  <si>
    <t xml:space="preserve">=AND(TRUE,H1)</t>
  </si>
  <si>
    <t xml:space="preserve">=AND(FALSE,H1)</t>
  </si>
  <si>
    <t xml:space="preserve">=AND(D1,D5)</t>
  </si>
  <si>
    <t xml:space="preserve">=AND(A1&gt;0,C1&gt;0,B1="apple")</t>
  </si>
  <si>
    <t xml:space="preserve">=OR(FALSE,FALSE)</t>
  </si>
  <si>
    <t xml:space="preserve">=OR(FALSE,TRUE)</t>
  </si>
  <si>
    <t xml:space="preserve">=OR(0,0)</t>
  </si>
  <si>
    <t xml:space="preserve">=OR(C1:C3)</t>
  </si>
  <si>
    <t xml:space="preserve">=OR(D2,D3)</t>
  </si>
  <si>
    <t xml:space="preserve">=OR(B1:B2)</t>
  </si>
  <si>
    <t xml:space="preserve">=OR(H1,TRUE)</t>
  </si>
  <si>
    <t xml:space="preserve">=OR(D4,FALSE)</t>
  </si>
  <si>
    <t xml:space="preserve">=OR(A1&lt;0,C2&lt;0)</t>
  </si>
  <si>
    <t xml:space="preserve">=NOT(TRUE)</t>
  </si>
  <si>
    <t xml:space="preserve">=NOT(0)</t>
  </si>
  <si>
    <t xml:space="preserve">=NOT(D4)</t>
  </si>
  <si>
    <t xml:space="preserve">=NOT(A1)</t>
  </si>
  <si>
    <t xml:space="preserve">=NOT(H1)</t>
  </si>
  <si>
    <t xml:space="preserve">=NOT(B1)</t>
  </si>
  <si>
    <t xml:space="preserve">=NOT("abc")</t>
  </si>
  <si>
    <t xml:space="preserve">=NOT(D2)</t>
  </si>
  <si>
    <t xml:space="preserve">=NOT(A1&gt;2)</t>
  </si>
  <si>
    <t xml:space="preserve">=IFERROR(1/0,"err")</t>
  </si>
  <si>
    <t xml:space="preserve">=IFERROR(5,"err")</t>
  </si>
  <si>
    <t xml:space="preserve">=IFERROR(H1,0)</t>
  </si>
  <si>
    <t xml:space="preserve">=IFERROR(H2,"na")</t>
  </si>
  <si>
    <t xml:space="preserve">=IFERROR(A1,0)</t>
  </si>
  <si>
    <t xml:space="preserve">=IFERROR(D4,"x")</t>
  </si>
  <si>
    <t xml:space="preserve">=IFERROR(VLOOKUP(999,F1:G4,2,FALSE),"missing")</t>
  </si>
  <si>
    <t xml:space="preserve">=IFERROR(SQRT(-1),-1)</t>
  </si>
  <si>
    <t xml:space="preserve">=IFERROR(1/0,1/0)</t>
  </si>
  <si>
    <t xml:space="preserve">=IFERROR(B1,"x")</t>
  </si>
  <si>
    <t xml:space="preserve">=IFERROR(UNKNOWNFN(1),"x")</t>
  </si>
  <si>
    <t xml:space="preserve">=TRUE()</t>
  </si>
  <si>
    <t xml:space="preserve">=TRUE()+1</t>
  </si>
  <si>
    <t xml:space="preserve">=AND(TRUE(),TRUE())</t>
  </si>
  <si>
    <t xml:space="preserve">=IF(TRUE(),"y","n")</t>
  </si>
  <si>
    <t xml:space="preserve">=NOT(TRUE())</t>
  </si>
  <si>
    <t xml:space="preserve">=TRUE()&amp;""</t>
  </si>
  <si>
    <t xml:space="preserve">=TRUE()+H1</t>
  </si>
  <si>
    <t xml:space="preserve">=SUM(TRUE(),TRUE())</t>
  </si>
  <si>
    <t xml:space="preserve">=FALSE()</t>
  </si>
  <si>
    <t xml:space="preserve">=FALSE()+1</t>
  </si>
  <si>
    <t xml:space="preserve">=OR(FALSE(),FALSE())</t>
  </si>
  <si>
    <t xml:space="preserve">=IF(FALSE(),"y","n")</t>
  </si>
  <si>
    <t xml:space="preserve">=NOT(FALSE())</t>
  </si>
  <si>
    <t xml:space="preserve">=FALSE()&amp;""</t>
  </si>
  <si>
    <t xml:space="preserve">=FALSE()=D2</t>
  </si>
  <si>
    <t xml:space="preserve">=FALSE()*H1</t>
  </si>
  <si>
    <t xml:space="preserve">=ISBLANK(D4)</t>
  </si>
  <si>
    <t xml:space="preserve">=ISBLANK(D3)</t>
  </si>
  <si>
    <t xml:space="preserve">=ISBLANK(A1)</t>
  </si>
  <si>
    <t xml:space="preserve">=ISBLANK(Z99)</t>
  </si>
  <si>
    <t xml:space="preserve">=ISBLANK(H1)</t>
  </si>
  <si>
    <t xml:space="preserve">=ISBLANK("")</t>
  </si>
  <si>
    <t xml:space="preserve">=ISBLANK(D5)</t>
  </si>
  <si>
    <t xml:space="preserve">=ISBLANK(Other!Z1)</t>
  </si>
  <si>
    <t xml:space="preserve">=ISNUMBER(A1)</t>
  </si>
  <si>
    <t xml:space="preserve">=ISNUMBER(D5)</t>
  </si>
  <si>
    <t xml:space="preserve">=ISNUMBER("1")</t>
  </si>
  <si>
    <t xml:space="preserve">=ISNUMBER(D4)</t>
  </si>
  <si>
    <t xml:space="preserve">=ISNUMBER(E1)</t>
  </si>
  <si>
    <t xml:space="preserve">=ISNUMBER(D1)</t>
  </si>
  <si>
    <t xml:space="preserve">=ISNUMBER(H1)</t>
  </si>
  <si>
    <t xml:space="preserve">=ISNUMBER(--D5)</t>
  </si>
  <si>
    <t xml:space="preserve">=ISNUMBER(A1:A1)</t>
  </si>
  <si>
    <t xml:space="preserve">=ISTEXT(B1)</t>
  </si>
  <si>
    <t xml:space="preserve">=ISTEXT(D5)</t>
  </si>
  <si>
    <t xml:space="preserve">=ISTEXT(D3)</t>
  </si>
  <si>
    <t xml:space="preserve">=ISTEXT(D4)</t>
  </si>
  <si>
    <t xml:space="preserve">=ISTEXT(A1)</t>
  </si>
  <si>
    <t xml:space="preserve">=ISTEXT(H1)</t>
  </si>
  <si>
    <t xml:space="preserve">=ISTEXT("")</t>
  </si>
  <si>
    <t xml:space="preserve">=ISTEXT(D1)</t>
  </si>
  <si>
    <t xml:space="preserve">=ISTEXT(A1&amp;"")</t>
  </si>
  <si>
    <t xml:space="preserve">=ISERROR(H1)</t>
  </si>
  <si>
    <t xml:space="preserve">=ISERROR(H2)</t>
  </si>
  <si>
    <t xml:space="preserve">=ISERROR(A1)</t>
  </si>
  <si>
    <t xml:space="preserve">=ISERROR(1/0)</t>
  </si>
  <si>
    <t xml:space="preserve">=ISERROR(D4)</t>
  </si>
  <si>
    <t xml:space="preserve">=ISERROR(VALUE("x"))</t>
  </si>
  <si>
    <t xml:space="preserve">=ISERROR(NA())</t>
  </si>
  <si>
    <t xml:space="preserve">=ISERROR(B1)</t>
  </si>
  <si>
    <t xml:space="preserve">=ISERROR(SQRT(-1))</t>
  </si>
  <si>
    <t xml:space="preserve">=ISNA(H2)</t>
  </si>
  <si>
    <t xml:space="preserve">=ISNA(H1)</t>
  </si>
  <si>
    <t xml:space="preserve">=ISNA(NA())</t>
  </si>
  <si>
    <t xml:space="preserve">=ISNA(A1)</t>
  </si>
  <si>
    <t xml:space="preserve">=ISNA(VLOOKUP(999,F1:G4,2,FALSE))</t>
  </si>
  <si>
    <t xml:space="preserve">=ISNA(1/0)</t>
  </si>
  <si>
    <t xml:space="preserve">=ISNA(D4)</t>
  </si>
  <si>
    <t xml:space="preserve">=ISNA(MATCH("zzz",B1:B6,0))</t>
  </si>
  <si>
    <t xml:space="preserve">=NA()</t>
  </si>
  <si>
    <t xml:space="preserve">=IFERROR(NA(),0)</t>
  </si>
  <si>
    <t xml:space="preserve">=NA()+1</t>
  </si>
  <si>
    <t xml:space="preserve">=SUM(1,NA())</t>
  </si>
  <si>
    <t xml:space="preserve">=IF(TRUE,NA(),1)</t>
  </si>
  <si>
    <t xml:space="preserve">=H2</t>
  </si>
  <si>
    <t xml:space="preserve">=NA()&amp;"x"</t>
  </si>
  <si>
    <t xml:space="preserve">=NA()+H1</t>
  </si>
  <si>
    <t xml:space="preserve">=CONCAT("a","b")</t>
  </si>
  <si>
    <t xml:space="preserve">=CONCAT(B1:B3)</t>
  </si>
  <si>
    <t xml:space="preserve">=CONCAT(A1,B1)</t>
  </si>
  <si>
    <t xml:space="preserve">=CONCAT(1,TRUE)</t>
  </si>
  <si>
    <t xml:space="preserve">=CONCAT(D4,"x")</t>
  </si>
  <si>
    <t xml:space="preserve">=CONCAT(H1,"x")</t>
  </si>
  <si>
    <t xml:space="preserve">=CONCAT(A1:A3,"-")</t>
  </si>
  <si>
    <t xml:space="preserve">=CONCAT(D1:D3)</t>
  </si>
  <si>
    <t xml:space="preserve">=CONCAT(C1:C2)</t>
  </si>
  <si>
    <t xml:space="preserve">=CONCATENATE("a","b","c")</t>
  </si>
  <si>
    <t xml:space="preserve">=CONCATENATE(B1," ",B2)</t>
  </si>
  <si>
    <t xml:space="preserve">=CONCATENATE(A1,A2)</t>
  </si>
  <si>
    <t xml:space="preserve">=CONCATENATE(D4)</t>
  </si>
  <si>
    <t xml:space="preserve">=CONCATENATE(H1,"x")</t>
  </si>
  <si>
    <t xml:space="preserve">=CONCATENATE(C1,"%")</t>
  </si>
  <si>
    <t xml:space="preserve">=CONCATENATE(1/4)</t>
  </si>
  <si>
    <t xml:space="preserve">=CONCATENATE(D1,D2)</t>
  </si>
  <si>
    <t xml:space="preserve">=LEFT("hello",2)</t>
  </si>
  <si>
    <t xml:space="preserve">=LEFT("hello")</t>
  </si>
  <si>
    <t xml:space="preserve">=LEFT(B1,3)</t>
  </si>
  <si>
    <t xml:space="preserve">=LEFT(B1,0)</t>
  </si>
  <si>
    <t xml:space="preserve">=LEFT(B1,100)</t>
  </si>
  <si>
    <t xml:space="preserve">=LEFT(A4,1)</t>
  </si>
  <si>
    <t xml:space="preserve">=LEFT(C1,2)</t>
  </si>
  <si>
    <t xml:space="preserve">=LEFT(H1,1)</t>
  </si>
  <si>
    <t xml:space="preserve">=LEFT(B1,-1)</t>
  </si>
  <si>
    <t xml:space="preserve">=LEFT(D4,2)</t>
  </si>
  <si>
    <t xml:space="preserve">=LEFT(D1,2)</t>
  </si>
  <si>
    <t xml:space="preserve">=LEFT(E1,3)</t>
  </si>
  <si>
    <t xml:space="preserve">=LEFT("abc",1.9)</t>
  </si>
  <si>
    <t xml:space="preserve">=RIGHT("hello",2)</t>
  </si>
  <si>
    <t xml:space="preserve">=RIGHT("hello")</t>
  </si>
  <si>
    <t xml:space="preserve">=RIGHT(B5,3)</t>
  </si>
  <si>
    <t xml:space="preserve">=RIGHT(B1,0)</t>
  </si>
  <si>
    <t xml:space="preserve">=RIGHT(B1,99)</t>
  </si>
  <si>
    <t xml:space="preserve">=RIGHT(C1,1)</t>
  </si>
  <si>
    <t xml:space="preserve">=RIGHT(H2,1)</t>
  </si>
  <si>
    <t xml:space="preserve">=RIGHT(B1,-1)</t>
  </si>
  <si>
    <t xml:space="preserve">=RIGHT(D4,1)</t>
  </si>
  <si>
    <t xml:space="preserve">=RIGHT(D6,3)</t>
  </si>
  <si>
    <t xml:space="preserve">=MID("hello",2,3)</t>
  </si>
  <si>
    <t xml:space="preserve">=MID(B1,1,1)</t>
  </si>
  <si>
    <t xml:space="preserve">=MID(B1,10,2)</t>
  </si>
  <si>
    <t xml:space="preserve">=MID(B1,0,2)</t>
  </si>
  <si>
    <t xml:space="preserve">=MID(B5,3,100)</t>
  </si>
  <si>
    <t xml:space="preserve">=MID(A1,1,1)</t>
  </si>
  <si>
    <t xml:space="preserve">=MID(H1,1,1)</t>
  </si>
  <si>
    <t xml:space="preserve">=MID(B1,2,-1)</t>
  </si>
  <si>
    <t xml:space="preserve">=MID(C1,2,3)</t>
  </si>
  <si>
    <t xml:space="preserve">=MID(B2,2,0)</t>
  </si>
  <si>
    <t xml:space="preserve">=MID(D4,1,5)</t>
  </si>
  <si>
    <t xml:space="preserve">=LEN("hello")</t>
  </si>
  <si>
    <t xml:space="preserve">=LEN(B5)</t>
  </si>
  <si>
    <t xml:space="preserve">=LEN(D3)</t>
  </si>
  <si>
    <t xml:space="preserve">=LEN(D4)</t>
  </si>
  <si>
    <t xml:space="preserve">=LEN(D6)</t>
  </si>
  <si>
    <t xml:space="preserve">=LEN(C1)</t>
  </si>
  <si>
    <t xml:space="preserve">=LEN(A1)</t>
  </si>
  <si>
    <t xml:space="preserve">=LEN(H1)</t>
  </si>
  <si>
    <t xml:space="preserve">=LEN(TRUE)</t>
  </si>
  <si>
    <t xml:space="preserve">=LEN(E3)</t>
  </si>
  <si>
    <t xml:space="preserve">=LEN("")</t>
  </si>
  <si>
    <t xml:space="preserve">=LEN("Äpfel")</t>
  </si>
  <si>
    <t xml:space="preserve">=UPPER("abc")</t>
  </si>
  <si>
    <t xml:space="preserve">=UPPER(B1)</t>
  </si>
  <si>
    <t xml:space="preserve">=UPPER(A1)</t>
  </si>
  <si>
    <t xml:space="preserve">=UPPER(D4)</t>
  </si>
  <si>
    <t xml:space="preserve">=UPPER(H1)</t>
  </si>
  <si>
    <t xml:space="preserve">=UPPER("äö")</t>
  </si>
  <si>
    <t xml:space="preserve">=UPPER(TRUE)</t>
  </si>
  <si>
    <t xml:space="preserve">=UPPER(B1&amp;B2)</t>
  </si>
  <si>
    <t xml:space="preserve">=LOWER("ABC")</t>
  </si>
  <si>
    <t xml:space="preserve">=LOWER(B1)</t>
  </si>
  <si>
    <t xml:space="preserve">=LOWER("ÄÖ")</t>
  </si>
  <si>
    <t xml:space="preserve">=LOWER(D6)</t>
  </si>
  <si>
    <t xml:space="preserve">=LOWER(H1)</t>
  </si>
  <si>
    <t xml:space="preserve">=LOWER(D4)</t>
  </si>
  <si>
    <t xml:space="preserve">=LOWER(TRUE)</t>
  </si>
  <si>
    <t xml:space="preserve">=LOWER(UPPER(B2))</t>
  </si>
  <si>
    <t xml:space="preserve">=TRIM("  a  b  ")</t>
  </si>
  <si>
    <t xml:space="preserve">=TRIM(D6)</t>
  </si>
  <si>
    <t xml:space="preserve">=TRIM(B1)</t>
  </si>
  <si>
    <t xml:space="preserve">=TRIM(D4)</t>
  </si>
  <si>
    <t xml:space="preserve">=TRIM(H1)</t>
  </si>
  <si>
    <t xml:space="preserve">=TRIM(A1)</t>
  </si>
  <si>
    <t xml:space="preserve">=TRIM("   ")</t>
  </si>
  <si>
    <t xml:space="preserve">=TRIM(D5)</t>
  </si>
  <si>
    <t xml:space="preserve">=FIND("a","banana")</t>
  </si>
  <si>
    <t xml:space="preserve">=FIND("a","banana",3)</t>
  </si>
  <si>
    <t xml:space="preserve">=FIND("A","banana")</t>
  </si>
  <si>
    <t xml:space="preserve">=FIND("","abc")</t>
  </si>
  <si>
    <t xml:space="preserve">=FIND("z",B1)</t>
  </si>
  <si>
    <t xml:space="preserve">=FIND("e",B5)</t>
  </si>
  <si>
    <t xml:space="preserve">=FIND("e",B5,2)</t>
  </si>
  <si>
    <t xml:space="preserve">=FIND("na",B2)</t>
  </si>
  <si>
    <t xml:space="preserve">=FIND("a",B1,0)</t>
  </si>
  <si>
    <t xml:space="preserve">=FIND(H1,"abc")</t>
  </si>
  <si>
    <t xml:space="preserve">=FIND("0",A1)</t>
  </si>
  <si>
    <t xml:space="preserve">=FIND(1,A1)</t>
  </si>
  <si>
    <t xml:space="preserve">=FIND("a",D4)</t>
  </si>
  <si>
    <t xml:space="preserve">=FIND("?","a?b")</t>
  </si>
  <si>
    <t xml:space="preserve">=SUBSTITUTE("banana","a","o")</t>
  </si>
  <si>
    <t xml:space="preserve">=SUBSTITUTE("banana","a","o",2)</t>
  </si>
  <si>
    <t xml:space="preserve">=SUBSTITUTE("banana","A","o")</t>
  </si>
  <si>
    <t xml:space="preserve">=SUBSTITUTE(B2,"an","")</t>
  </si>
  <si>
    <t xml:space="preserve">=SUBSTITUTE(B1,"p","pp")</t>
  </si>
  <si>
    <t xml:space="preserve">=SUBSTITUTE(H1,"a","b")</t>
  </si>
  <si>
    <t xml:space="preserve">=SUBSTITUTE(A1,1,2)</t>
  </si>
  <si>
    <t xml:space="preserve">=SUBSTITUTE(B1,"","x")</t>
  </si>
  <si>
    <t xml:space="preserve">=SUBSTITUTE(D4,"a","b")</t>
  </si>
  <si>
    <t xml:space="preserve">=SUBSTITUTE("aaa","a","b",4)</t>
  </si>
  <si>
    <t xml:space="preserve">=SUBSTITUTE("abc","b","")</t>
  </si>
  <si>
    <t xml:space="preserve">=SUBSTITUTE(B1,"a","x",0)</t>
  </si>
  <si>
    <t xml:space="preserve">=TEXT(1234.5,"0")</t>
  </si>
  <si>
    <t xml:space="preserve">=TEXT(1234.567,"0.00")</t>
  </si>
  <si>
    <t xml:space="preserve">=TEXT(1234567.891,"#,##0")</t>
  </si>
  <si>
    <t xml:space="preserve">=TEXT(1234567.891,"#,##0.00")</t>
  </si>
  <si>
    <t xml:space="preserve">=TEXT(0.256,"0%")</t>
  </si>
  <si>
    <t xml:space="preserve">=TEXT(0.256,"0.0%")</t>
  </si>
  <si>
    <t xml:space="preserve">=TEXT(E1,"yyyy-mm-dd")</t>
  </si>
  <si>
    <t xml:space="preserve">=TEXT(E1,"dd.mm.yyyy")</t>
  </si>
  <si>
    <t xml:space="preserve">=TEXT(E1,"mm/dd/yyyy")</t>
  </si>
  <si>
    <t xml:space="preserve">=TEXT(B1,"@")</t>
  </si>
  <si>
    <t xml:space="preserve">=TEXT(A1,"@")</t>
  </si>
  <si>
    <t xml:space="preserve">=TEXT(-2,"0.00")</t>
  </si>
  <si>
    <t xml:space="preserve">=TEXT(C2,"#,##0.00")</t>
  </si>
  <si>
    <t xml:space="preserve">=TEXT(0,"0.00")</t>
  </si>
  <si>
    <t xml:space="preserve">=TEXT(H1,"0")</t>
  </si>
  <si>
    <t xml:space="preserve">=TEXT(D4,"0")</t>
  </si>
  <si>
    <t xml:space="preserve">=TEXT(C6,"#,##0")</t>
  </si>
  <si>
    <t xml:space="preserve">=TEXT(C1,"0")</t>
  </si>
  <si>
    <t xml:space="preserve">=TEXT(-1234.5,"#,##0.00")</t>
  </si>
  <si>
    <t xml:space="preserve">=TEXT(E3,"yyyy-mm-dd")</t>
  </si>
  <si>
    <t xml:space="preserve">=TEXT(E2,"dd.mm.yyyy")</t>
  </si>
  <si>
    <t xml:space="preserve">=TEXT(B1,"0")</t>
  </si>
  <si>
    <t xml:space="preserve">=TEXT(0.5,"0%")</t>
  </si>
  <si>
    <t xml:space="preserve">=TEXT(1,"0.0%")</t>
  </si>
  <si>
    <t xml:space="preserve">=TEXT(E4,"0.0%")</t>
  </si>
  <si>
    <t xml:space="preserve">=TEXT(D5,"0.00")</t>
  </si>
  <si>
    <t xml:space="preserve">=TEXT(0.005,"0.00")</t>
  </si>
  <si>
    <t xml:space="preserve">=TEXT(999.995,"0.00")</t>
  </si>
  <si>
    <t xml:space="preserve">=VALUE("123")</t>
  </si>
  <si>
    <t xml:space="preserve">=VALUE("1.5")</t>
  </si>
  <si>
    <t xml:space="preserve">=VALUE("abc")</t>
  </si>
  <si>
    <t xml:space="preserve">=VALUE("")</t>
  </si>
  <si>
    <t xml:space="preserve">=VALUE(D5)</t>
  </si>
  <si>
    <t xml:space="preserve">=VALUE(A1)</t>
  </si>
  <si>
    <t xml:space="preserve">=VALUE(D4)</t>
  </si>
  <si>
    <t xml:space="preserve">=VALUE(H1)</t>
  </si>
  <si>
    <t xml:space="preserve">=VALUE(" 12 ")</t>
  </si>
  <si>
    <t xml:space="preserve">=VALUE("1e3")</t>
  </si>
  <si>
    <t xml:space="preserve">=VALUE("50%")</t>
  </si>
  <si>
    <t xml:space="preserve">=VALUE("-7")</t>
  </si>
  <si>
    <t xml:space="preserve">=VALUE(TRUE)</t>
  </si>
  <si>
    <t xml:space="preserve">=VALUE("2024-01-15")</t>
  </si>
  <si>
    <t xml:space="preserve">=VALUE(B1)</t>
  </si>
  <si>
    <t xml:space="preserve">=EXACT("a","a")</t>
  </si>
  <si>
    <t xml:space="preserve">=EXACT("a","A")</t>
  </si>
  <si>
    <t xml:space="preserve">=EXACT(B1,"apple")</t>
  </si>
  <si>
    <t xml:space="preserve">=EXACT(A1,1)</t>
  </si>
  <si>
    <t xml:space="preserve">=EXACT(D4,"")</t>
  </si>
  <si>
    <t xml:space="preserve">=EXACT(D3,D4)</t>
  </si>
  <si>
    <t xml:space="preserve">=EXACT(H1,"a")</t>
  </si>
  <si>
    <t xml:space="preserve">=EXACT(B1,B2)</t>
  </si>
  <si>
    <t xml:space="preserve">=EXACT(D5,42)</t>
  </si>
  <si>
    <t xml:space="preserve">=EXACT("a ","a")</t>
  </si>
  <si>
    <t xml:space="preserve">=VLOOKUP(200,F1:G4,2,FALSE)</t>
  </si>
  <si>
    <t xml:space="preserve">=VLOOKUP(200,F1:G4,2)</t>
  </si>
  <si>
    <t xml:space="preserve">=VLOOKUP(250,F1:G4,2,TRUE)</t>
  </si>
  <si>
    <t xml:space="preserve">=VLOOKUP(50,F1:G4,2,TRUE)</t>
  </si>
  <si>
    <t xml:space="preserve">=VLOOKUP(999,F1:G4,2,FALSE)</t>
  </si>
  <si>
    <t xml:space="preserve">=VLOOKUP(500,F1:G4,2,TRUE)</t>
  </si>
  <si>
    <t xml:space="preserve">=VLOOKUP(100,F1:G4,1,FALSE)</t>
  </si>
  <si>
    <t xml:space="preserve">=VLOOKUP(100,F1:G4,3,FALSE)</t>
  </si>
  <si>
    <t xml:space="preserve">=VLOOKUP(100,F1:G4,0,FALSE)</t>
  </si>
  <si>
    <t xml:space="preserve">=VLOOKUP(H1,F1:G4,2,FALSE)</t>
  </si>
  <si>
    <t xml:space="preserve">=VLOOKUP("apple",B1:C6,2,FALSE)</t>
  </si>
  <si>
    <t xml:space="preserve">=VLOOKUP("APPLE",B1:C6,2,FALSE)</t>
  </si>
  <si>
    <t xml:space="preserve">=VLOOKUP("fi*",B1:C6,2,FALSE)</t>
  </si>
  <si>
    <t xml:space="preserve">=VLOOKUP(3,A1:C6,3,FALSE)</t>
  </si>
  <si>
    <t xml:space="preserve">=VLOOKUP("3",A1:A6,1,FALSE)</t>
  </si>
  <si>
    <t xml:space="preserve">=VLOOKUP(D4,F1:G4,2,FALSE)</t>
  </si>
  <si>
    <t xml:space="preserve">=VLOOKUP(300,F1:G4,2,0)</t>
  </si>
  <si>
    <t xml:space="preserve">=HLOOKUP(1,A1:F6,2,FALSE)</t>
  </si>
  <si>
    <t xml:space="preserve">=HLOOKUP("apple",A1:F6,3,FALSE)</t>
  </si>
  <si>
    <t xml:space="preserve">=HLOOKUP(TRUE,A1:F6,2,FALSE)</t>
  </si>
  <si>
    <t xml:space="preserve">=HLOOKUP(45306,A1:F6,2,FALSE)</t>
  </si>
  <si>
    <t xml:space="preserve">=HLOOKUP(100,A1:F6,4,FALSE)</t>
  </si>
  <si>
    <t xml:space="preserve">=HLOOKUP(999,A1:F6,2,FALSE)</t>
  </si>
  <si>
    <t xml:space="preserve">=HLOOKUP(1,A1:F6,7,FALSE)</t>
  </si>
  <si>
    <t xml:space="preserve">=HLOOKUP(H1,A1:F6,2,FALSE)</t>
  </si>
  <si>
    <t xml:space="preserve">=HLOOKUP(1,A1:F6,0,FALSE)</t>
  </si>
  <si>
    <t xml:space="preserve">=HLOOKUP(10.5,A1:F6,2,FALSE)</t>
  </si>
  <si>
    <t xml:space="preserve">=HLOOKUP("APPLE",A1:F6,5,FALSE)</t>
  </si>
  <si>
    <t xml:space="preserve">=HLOOKUP(1,A1:F6,1,FALSE)</t>
  </si>
  <si>
    <t xml:space="preserve">=INDEX(A1:A6,3)</t>
  </si>
  <si>
    <t xml:space="preserve">=INDEX(A1:C6,2,2)</t>
  </si>
  <si>
    <t xml:space="preserve">=INDEX(A1:C6,6,3)</t>
  </si>
  <si>
    <t xml:space="preserve">=INDEX(A1:A6,10)</t>
  </si>
  <si>
    <t xml:space="preserve">=INDEX(A1:C6,2,5)</t>
  </si>
  <si>
    <t xml:space="preserve">=INDEX(D1:D6,4)</t>
  </si>
  <si>
    <t xml:space="preserve">=INDEX(H1:H2,1)</t>
  </si>
  <si>
    <t xml:space="preserve">=INDEX(A1:A6,H1)</t>
  </si>
  <si>
    <t xml:space="preserve">=INDEX(A1:A6,-1)</t>
  </si>
  <si>
    <t xml:space="preserve">=INDEX(F1:G4,3,2)</t>
  </si>
  <si>
    <t xml:space="preserve">=INDEX(A1:F1,5)</t>
  </si>
  <si>
    <t xml:space="preserve">=INDEX(B1:B6,"2")</t>
  </si>
  <si>
    <t xml:space="preserve">=INDEX(A1:A6,2.9)</t>
  </si>
  <si>
    <t xml:space="preserve">=INDEX(A1:C6,1,1)</t>
  </si>
  <si>
    <t xml:space="preserve">=MATCH(3,A1:A6,0)</t>
  </si>
  <si>
    <t xml:space="preserve">=MATCH(3.5,A1:A6,1)</t>
  </si>
  <si>
    <t xml:space="preserve">=MATCH("cherry",B1:B6,0)</t>
  </si>
  <si>
    <t xml:space="preserve">=MATCH("CHERRY",B1:B6,0)</t>
  </si>
  <si>
    <t xml:space="preserve">=MATCH("zzz",B1:B6,0)</t>
  </si>
  <si>
    <t xml:space="preserve">=MATCH("c*",B1:B6,0)</t>
  </si>
  <si>
    <t xml:space="preserve">=MATCH(0,A1:A6,1)</t>
  </si>
  <si>
    <t xml:space="preserve">=MATCH(100,F1:F4,0)</t>
  </si>
  <si>
    <t xml:space="preserve">=MATCH(250,F1:F4,1)</t>
  </si>
  <si>
    <t xml:space="preserve">=MATCH(500,F1:F4,1)</t>
  </si>
  <si>
    <t xml:space="preserve">=MATCH(300,F1:F4)</t>
  </si>
  <si>
    <t xml:space="preserve">=MATCH(H1,A1:A6,0)</t>
  </si>
  <si>
    <t xml:space="preserve">=MATCH(D4,A1:A6,0)</t>
  </si>
  <si>
    <t xml:space="preserve">=MATCH(TRUE,D1:D6,0)</t>
  </si>
  <si>
    <t xml:space="preserve">=MATCH(FALSE,D1:D6,0)</t>
  </si>
  <si>
    <t xml:space="preserve">=MATCH("fig",B1:B6,0)</t>
  </si>
  <si>
    <t xml:space="preserve">=MATCH("",D1:D6,0)</t>
  </si>
  <si>
    <t xml:space="preserve">=CHOOSE(1,"a","b","c")</t>
  </si>
  <si>
    <t xml:space="preserve">=CHOOSE(3,"a","b","c")</t>
  </si>
  <si>
    <t xml:space="preserve">=CHOOSE(2.9,"a","b","c")</t>
  </si>
  <si>
    <t xml:space="preserve">=CHOOSE(0,"a","b")</t>
  </si>
  <si>
    <t xml:space="preserve">=CHOOSE(4,"a","b","c")</t>
  </si>
  <si>
    <t xml:space="preserve">=CHOOSE(A2,B1,B2,B3)</t>
  </si>
  <si>
    <t xml:space="preserve">=CHOOSE(H1,1,2)</t>
  </si>
  <si>
    <t xml:space="preserve">=CHOOSE(2,1,1/0)</t>
  </si>
  <si>
    <t xml:space="preserve">=CHOOSE(1,1,1/0)</t>
  </si>
  <si>
    <t xml:space="preserve">=CHOOSE("2","a","b")</t>
  </si>
  <si>
    <t xml:space="preserve">=CHOOSE(TRUE,"a","b")</t>
  </si>
  <si>
    <t xml:space="preserve">=CHOOSE(2,A1,D4)</t>
  </si>
  <si>
    <t xml:space="preserve">=ROW(A1)</t>
  </si>
  <si>
    <t xml:space="preserve">=ROW(C5)</t>
  </si>
  <si>
    <t xml:space="preserve">=SUM(ROW(B2:B4))</t>
  </si>
  <si>
    <t xml:space="preserve">=ROW(Other!A5)</t>
  </si>
  <si>
    <t xml:space="preserve">=ROW(Z100)</t>
  </si>
  <si>
    <t xml:space="preserve">=ROW(H1)</t>
  </si>
  <si>
    <t xml:space="preserve">=ROW(INDEX(A1:A6,3))</t>
  </si>
  <si>
    <t xml:space="preserve">=ROW(D4)+1</t>
  </si>
  <si>
    <t xml:space="preserve">=COLUMN(A1)</t>
  </si>
  <si>
    <t xml:space="preserve">=COLUMN(C5)</t>
  </si>
  <si>
    <t xml:space="preserve">=COLUMN(AA1)</t>
  </si>
  <si>
    <t xml:space="preserve">=COLUMN(Other!B1)</t>
  </si>
  <si>
    <t xml:space="preserve">=COLUMN(H1)</t>
  </si>
  <si>
    <t xml:space="preserve">=SUM(COLUMN(A1:C1))</t>
  </si>
  <si>
    <t xml:space="preserve">=COLUMN(INDEX(A1:H6,1,5))</t>
  </si>
  <si>
    <t xml:space="preserve">=COLUMN(XFD1)</t>
  </si>
  <si>
    <t xml:space="preserve">=TODAY()</t>
  </si>
  <si>
    <t xml:space="preserve">=INT(TODAY())=TODAY()</t>
  </si>
  <si>
    <t xml:space="preserve">=TODAY()&gt;45306</t>
  </si>
  <si>
    <t xml:space="preserve">=YEAR(TODAY())&gt;=2024</t>
  </si>
  <si>
    <t xml:space="preserve">=TODAY()-TODAY()</t>
  </si>
  <si>
    <t xml:space="preserve">=TODAY()+H1</t>
  </si>
  <si>
    <t xml:space="preserve">=ISNUMBER(TODAY())</t>
  </si>
  <si>
    <t xml:space="preserve">=TODAY()-E1&gt;0</t>
  </si>
  <si>
    <t xml:space="preserve">=NOW()</t>
  </si>
  <si>
    <t xml:space="preserve">=NOW()&gt;=TODAY()</t>
  </si>
  <si>
    <t xml:space="preserve">=INT(NOW())=TODAY()</t>
  </si>
  <si>
    <t xml:space="preserve">=ISNUMBER(NOW())</t>
  </si>
  <si>
    <t xml:space="preserve">=NOW()+H1</t>
  </si>
  <si>
    <t xml:space="preserve">=MOD(NOW(),1)&lt;1</t>
  </si>
  <si>
    <t xml:space="preserve">=NOW()&gt;E1</t>
  </si>
  <si>
    <t xml:space="preserve">=NOW()-TODAY()&lt;1</t>
  </si>
  <si>
    <t xml:space="preserve">=DATE(2024,1,15)</t>
  </si>
  <si>
    <t xml:space="preserve">=DATE(2024,13,1)</t>
  </si>
  <si>
    <t xml:space="preserve">=DATE(2024,1,0)</t>
  </si>
  <si>
    <t xml:space="preserve">=DATE(2024,2,30)</t>
  </si>
  <si>
    <t xml:space="preserve">=DATE(1900,1,1)</t>
  </si>
  <si>
    <t xml:space="preserve">=DATE(2024,0,1)</t>
  </si>
  <si>
    <t xml:space="preserve">=DATE(YEAR(E1),MONTH(E1),DAY(E1))</t>
  </si>
  <si>
    <t xml:space="preserve">=DATE(H1,1,1)</t>
  </si>
  <si>
    <t xml:space="preserve">=DATE(1,1,1)</t>
  </si>
  <si>
    <t xml:space="preserve">=DATE(2024,-1,1)</t>
  </si>
  <si>
    <t xml:space="preserve">=DATE("2024","1","15")</t>
  </si>
  <si>
    <t xml:space="preserve">=DATE(2024,1,15.9)</t>
  </si>
  <si>
    <t xml:space="preserve">=DATE(10000,1,1)</t>
  </si>
  <si>
    <t xml:space="preserve">=DATE(2024,1,D4)</t>
  </si>
  <si>
    <t xml:space="preserve">=YEAR(45306)</t>
  </si>
  <si>
    <t xml:space="preserve">=YEAR(E1)</t>
  </si>
  <si>
    <t xml:space="preserve">=YEAR(E3)</t>
  </si>
  <si>
    <t xml:space="preserve">=YEAR(0)</t>
  </si>
  <si>
    <t xml:space="preserve">=YEAR(-1)</t>
  </si>
  <si>
    <t xml:space="preserve">=YEAR("2024-01-15")</t>
  </si>
  <si>
    <t xml:space="preserve">=YEAR(H1)</t>
  </si>
  <si>
    <t xml:space="preserve">=YEAR(D4)</t>
  </si>
  <si>
    <t xml:space="preserve">=YEAR(E4)</t>
  </si>
  <si>
    <t xml:space="preserve">=YEAR(DATE(2000,2,29))</t>
  </si>
  <si>
    <t xml:space="preserve">=YEAR(B1)</t>
  </si>
  <si>
    <t xml:space="preserve">=YEAR(2958465)</t>
  </si>
  <si>
    <t xml:space="preserve">=MONTH(E1)</t>
  </si>
  <si>
    <t xml:space="preserve">=MONTH(E2)</t>
  </si>
  <si>
    <t xml:space="preserve">=MONTH(45306.75)</t>
  </si>
  <si>
    <t xml:space="preserve">=MONTH(0)</t>
  </si>
  <si>
    <t xml:space="preserve">=MONTH(-1)</t>
  </si>
  <si>
    <t xml:space="preserve">=MONTH(H1)</t>
  </si>
  <si>
    <t xml:space="preserve">=MONTH("2024-12-31")</t>
  </si>
  <si>
    <t xml:space="preserve">=MONTH(D4)</t>
  </si>
  <si>
    <t xml:space="preserve">=MONTH(DATE(2024,2,30))</t>
  </si>
  <si>
    <t xml:space="preserve">=MONTH(B1)</t>
  </si>
  <si>
    <t xml:space="preserve">=MONTH(60)</t>
  </si>
  <si>
    <t xml:space="preserve">=MONTH(59)</t>
  </si>
  <si>
    <t xml:space="preserve">=DAY(E1)</t>
  </si>
  <si>
    <t xml:space="preserve">=DAY(E2)</t>
  </si>
  <si>
    <t xml:space="preserve">=DAY(E3)</t>
  </si>
  <si>
    <t xml:space="preserve">=DAY(0)</t>
  </si>
  <si>
    <t xml:space="preserve">=DAY(1)</t>
  </si>
  <si>
    <t xml:space="preserve">=DAY(H1)</t>
  </si>
  <si>
    <t xml:space="preserve">=DAY("2024-01-15")</t>
  </si>
  <si>
    <t xml:space="preserve">=DAY(D4)</t>
  </si>
  <si>
    <t xml:space="preserve">=DAY(B1)</t>
  </si>
  <si>
    <t xml:space="preserve">=DAY(DATE(2024,3,0))</t>
  </si>
  <si>
    <t xml:space="preserve">=DAY(-1)</t>
  </si>
  <si>
    <t xml:space="preserve">=DAY(60)</t>
  </si>
  <si>
    <t xml:space="preserve">=WEEKDAY(E1)</t>
  </si>
  <si>
    <t xml:space="preserve">=WEEKDAY(E1,2)</t>
  </si>
  <si>
    <t xml:space="preserve">=WEEKDAY(E1,3)</t>
  </si>
  <si>
    <t xml:space="preserve">=WEEKDAY(E2)</t>
  </si>
  <si>
    <t xml:space="preserve">=WEEKDAY(E2,2)</t>
  </si>
  <si>
    <t xml:space="preserve">=WEEKDAY(DATE(2024,1,14))</t>
  </si>
  <si>
    <t xml:space="preserve">=WEEKDAY(DATE(2024,1,14),2)</t>
  </si>
  <si>
    <t xml:space="preserve">=WEEKDAY(E1,11)</t>
  </si>
  <si>
    <t xml:space="preserve">=WEEKDAY(E1,17)</t>
  </si>
  <si>
    <t xml:space="preserve">=WEEKDAY(E1,4)</t>
  </si>
  <si>
    <t xml:space="preserve">=WEEKDAY(H1)</t>
  </si>
  <si>
    <t xml:space="preserve">=WEEKDAY(E3)</t>
  </si>
  <si>
    <t xml:space="preserve">=WEEKDAY(0)</t>
  </si>
  <si>
    <t xml:space="preserve">=WEEKDAY(1)</t>
  </si>
  <si>
    <t xml:space="preserve">=WEEKDAY(D4)</t>
  </si>
  <si>
    <t xml:space="preserve">=WEEKDAY(B1)</t>
  </si>
  <si>
    <t xml:space="preserve">=WEEKDAY(-1)</t>
  </si>
  <si>
    <t xml:space="preserve">=WEEKDAY(E1,12)</t>
  </si>
  <si>
    <t xml:space="preserve">=WEEKDAY("2024-01-15")</t>
  </si>
  <si>
    <t xml:space="preserve">=DAYS(E2,E1)</t>
  </si>
  <si>
    <t xml:space="preserve">=DAYS(E1,E2)</t>
  </si>
  <si>
    <t xml:space="preserve">=DAYS(E1,E1)</t>
  </si>
  <si>
    <t xml:space="preserve">=DAYS(DATE(2024,3,1),DATE(2024,2,1))</t>
  </si>
  <si>
    <t xml:space="preserve">=DAYS("2024-12-31","2024-01-15")</t>
  </si>
  <si>
    <t xml:space="preserve">=DAYS(E3,E1)</t>
  </si>
  <si>
    <t xml:space="preserve">=DAYS(H1,E1)</t>
  </si>
  <si>
    <t xml:space="preserve">=DAYS(E1,H2)</t>
  </si>
  <si>
    <t xml:space="preserve">=DAYS(B1,E1)</t>
  </si>
  <si>
    <t xml:space="preserve">=DAYS(D4,E1)</t>
  </si>
  <si>
    <t xml:space="preserve">=DAYS(E2,E1)+1</t>
  </si>
  <si>
    <t xml:space="preserve">=1+2*3</t>
  </si>
  <si>
    <t xml:space="preserve">=(1+2)*3</t>
  </si>
  <si>
    <t xml:space="preserve">=2*3+4</t>
  </si>
  <si>
    <t xml:space="preserve">=10-2-3</t>
  </si>
  <si>
    <t xml:space="preserve">=2/4/2</t>
  </si>
  <si>
    <t xml:space="preserve">=2^3^2</t>
  </si>
  <si>
    <t xml:space="preserve">=-2^2</t>
  </si>
  <si>
    <t xml:space="preserve">=--1</t>
  </si>
  <si>
    <t xml:space="preserve">=---1</t>
  </si>
  <si>
    <t xml:space="preserve">=+1</t>
  </si>
  <si>
    <t xml:space="preserve">=5%</t>
  </si>
  <si>
    <t xml:space="preserve">=50%*2</t>
  </si>
  <si>
    <t xml:space="preserve">=200*5%</t>
  </si>
  <si>
    <t xml:space="preserve">=2^-1</t>
  </si>
  <si>
    <t xml:space="preserve">=-A1^2</t>
  </si>
  <si>
    <t xml:space="preserve">=10%%</t>
  </si>
  <si>
    <t xml:space="preserve">=1+2&amp;3</t>
  </si>
  <si>
    <t xml:space="preserve">=1&amp;2+3</t>
  </si>
  <si>
    <t xml:space="preserve">=1&amp;TRUE</t>
  </si>
  <si>
    <t xml:space="preserve">=TRUE&amp;FALSE</t>
  </si>
  <si>
    <t xml:space="preserve">="a"&amp;1.5</t>
  </si>
  <si>
    <t xml:space="preserve">=1/4&amp;""</t>
  </si>
  <si>
    <t xml:space="preserve">=1E3&amp;""</t>
  </si>
  <si>
    <t xml:space="preserve">=D4&amp;"x"</t>
  </si>
  <si>
    <t xml:space="preserve">=D4&amp;D4</t>
  </si>
  <si>
    <t xml:space="preserve">=A1&amp;B1</t>
  </si>
  <si>
    <t xml:space="preserve">=E1&amp;""</t>
  </si>
  <si>
    <t xml:space="preserve">=C1&amp;""</t>
  </si>
  <si>
    <t xml:space="preserve">=0.1+0.2</t>
  </si>
  <si>
    <t xml:space="preserve">=0.1+0.2=0.3</t>
  </si>
  <si>
    <t xml:space="preserve">=1/3</t>
  </si>
  <si>
    <t xml:space="preserve">=2^0.5</t>
  </si>
  <si>
    <t xml:space="preserve">=1&lt;2</t>
  </si>
  <si>
    <t xml:space="preserve">=2&lt;=2</t>
  </si>
  <si>
    <t xml:space="preserve">=1&lt;&gt;1</t>
  </si>
  <si>
    <t xml:space="preserve">=1=1.0</t>
  </si>
  <si>
    <t xml:space="preserve">="a"="A"</t>
  </si>
  <si>
    <t xml:space="preserve">="a"="b"</t>
  </si>
  <si>
    <t xml:space="preserve">="a"&lt;"b"</t>
  </si>
  <si>
    <t xml:space="preserve">="B"&lt;"a"</t>
  </si>
  <si>
    <t xml:space="preserve">="apple"&lt;"banana"</t>
  </si>
  <si>
    <t xml:space="preserve">="a"&gt;1</t>
  </si>
  <si>
    <t xml:space="preserve">=1&gt;"a"</t>
  </si>
  <si>
    <t xml:space="preserve">="1"=1</t>
  </si>
  <si>
    <t xml:space="preserve">="1"&gt;1</t>
  </si>
  <si>
    <t xml:space="preserve">=TRUE&gt;1</t>
  </si>
  <si>
    <t xml:space="preserve">=TRUE&gt;"a"</t>
  </si>
  <si>
    <t xml:space="preserve">=FALSE&gt;"zzz"</t>
  </si>
  <si>
    <t xml:space="preserve">=TRUE=1</t>
  </si>
  <si>
    <t xml:space="preserve">=FALSE=0</t>
  </si>
  <si>
    <t xml:space="preserve">=D4=0</t>
  </si>
  <si>
    <t xml:space="preserve">=D4=""</t>
  </si>
  <si>
    <t xml:space="preserve">=D3=""</t>
  </si>
  <si>
    <t xml:space="preserve">=D4=FALSE</t>
  </si>
  <si>
    <t xml:space="preserve">=A1=1</t>
  </si>
  <si>
    <t xml:space="preserve">=B1="APPLE"</t>
  </si>
  <si>
    <t xml:space="preserve">=B1&gt;A1</t>
  </si>
  <si>
    <t xml:space="preserve">=E4&lt;1</t>
  </si>
  <si>
    <t xml:space="preserve">=""&lt;"a"</t>
  </si>
  <si>
    <t xml:space="preserve">=""=0</t>
  </si>
  <si>
    <t xml:space="preserve">="a"&lt;&gt;"A"</t>
  </si>
  <si>
    <t xml:space="preserve">=H1=1</t>
  </si>
  <si>
    <t xml:space="preserve">=H1&gt;1</t>
  </si>
  <si>
    <t xml:space="preserve">=1&lt;&gt;"1"</t>
  </si>
  <si>
    <t xml:space="preserve">=C2&lt;0</t>
  </si>
  <si>
    <t xml:space="preserve">=D3=D4</t>
  </si>
  <si>
    <t xml:space="preserve">=1+1=2</t>
  </si>
  <si>
    <t xml:space="preserve">=2&gt;1=TRUE</t>
  </si>
  <si>
    <t xml:space="preserve">="a"&amp;"b"="ab"</t>
  </si>
  <si>
    <t xml:space="preserve">=1&amp;1=11</t>
  </si>
  <si>
    <t xml:space="preserve">=1/0</t>
  </si>
  <si>
    <t xml:space="preserve">=0/0</t>
  </si>
  <si>
    <t xml:space="preserve">=1/D4</t>
  </si>
  <si>
    <t xml:space="preserve">=D4/1</t>
  </si>
  <si>
    <t xml:space="preserve">="3"+1</t>
  </si>
  <si>
    <t xml:space="preserve">="a"+1</t>
  </si>
  <si>
    <t xml:space="preserve">=TRUE+1</t>
  </si>
  <si>
    <t xml:space="preserve">=TRUE+TRUE</t>
  </si>
  <si>
    <t xml:space="preserve">=FALSE*5</t>
  </si>
  <si>
    <t xml:space="preserve">=D4+1</t>
  </si>
  <si>
    <t xml:space="preserve">=D4*5</t>
  </si>
  <si>
    <t xml:space="preserve">=D3+1</t>
  </si>
  <si>
    <t xml:space="preserve">=D5+1</t>
  </si>
  <si>
    <t xml:space="preserve">=D6+1</t>
  </si>
  <si>
    <t xml:space="preserve">=""+1</t>
  </si>
  <si>
    <t xml:space="preserve">=" 3 "+1</t>
  </si>
  <si>
    <t xml:space="preserve">="1e2"+1</t>
  </si>
  <si>
    <t xml:space="preserve">="0x10"+1</t>
  </si>
  <si>
    <t xml:space="preserve">=B1+1</t>
  </si>
  <si>
    <t xml:space="preserve">=A1+A2*A3</t>
  </si>
  <si>
    <t xml:space="preserve">=C1*2</t>
  </si>
  <si>
    <t xml:space="preserve">=C6/A2</t>
  </si>
  <si>
    <t xml:space="preserve">=E1+1</t>
  </si>
  <si>
    <t xml:space="preserve">=E4*2</t>
  </si>
  <si>
    <t xml:space="preserve">=-D4</t>
  </si>
  <si>
    <t xml:space="preserve">=-TRUE</t>
  </si>
  <si>
    <t xml:space="preserve">=-"3"</t>
  </si>
  <si>
    <t xml:space="preserve">=-B1</t>
  </si>
  <si>
    <t xml:space="preserve">=+B1</t>
  </si>
  <si>
    <t xml:space="preserve">=+D4</t>
  </si>
  <si>
    <t xml:space="preserve">="5"*"2"</t>
  </si>
  <si>
    <t xml:space="preserve">=1-"1"</t>
  </si>
  <si>
    <t xml:space="preserve">=2^"3"</t>
  </si>
  <si>
    <t xml:space="preserve">=H1+1</t>
  </si>
  <si>
    <t xml:space="preserve">=1+H2</t>
  </si>
  <si>
    <t xml:space="preserve">=H1+H2</t>
  </si>
  <si>
    <t xml:space="preserve">=H2+H1</t>
  </si>
  <si>
    <t xml:space="preserve">=10%+A1</t>
  </si>
  <si>
    <t xml:space="preserve">=1E308*10</t>
  </si>
  <si>
    <t xml:space="preserve">=-1E308*10</t>
  </si>
  <si>
    <t xml:space="preserve">=0^0</t>
  </si>
  <si>
    <t xml:space="preserve">=(-8)^(1/3)</t>
  </si>
  <si>
    <t xml:space="preserve">=4^0.5</t>
  </si>
  <si>
    <t xml:space="preserve">=Other!A1*2</t>
  </si>
  <si>
    <t xml:space="preserve">=Other!B1</t>
  </si>
  <si>
    <t xml:space="preserve">=Other!B1&amp;"!"</t>
  </si>
  <si>
    <t xml:space="preserve">=Other!A1+A1</t>
  </si>
  <si>
    <t xml:space="preserve">=SUM(Data!A1:A6)</t>
  </si>
  <si>
    <t xml:space="preserve">=SUM(Other!A1:B1)</t>
  </si>
  <si>
    <t xml:space="preserve">=Data!A1</t>
  </si>
  <si>
    <t xml:space="preserve">=Data!B1&amp;Other!B1</t>
  </si>
  <si>
    <t xml:space="preserve">=COUNT(Data!A1:H6)</t>
  </si>
  <si>
    <t xml:space="preserve">=COUNTA(Data!A1:H6)</t>
  </si>
  <si>
    <t xml:space="preserve">=SUM(A1:A3,Other!A1)</t>
  </si>
  <si>
    <t xml:space="preserve">=AVERAGE(Other!A1,A1)</t>
  </si>
  <si>
    <t xml:space="preserve">=SUM($A$1:$A$3)</t>
  </si>
  <si>
    <t xml:space="preserve">=SUM(A$1:A3)</t>
  </si>
  <si>
    <t xml:space="preserve">=$A1+A$2</t>
  </si>
  <si>
    <t xml:space="preserve">=INDEX(Other!A1:B1,2)</t>
  </si>
  <si>
    <t xml:space="preserve">=A1+Other!A1+Data!A2</t>
  </si>
  <si>
    <t xml:space="preserve">=Z99</t>
  </si>
  <si>
    <t xml:space="preserve">=Other!Z99</t>
  </si>
  <si>
    <t xml:space="preserve">=SUM(A:A)</t>
  </si>
  <si>
    <t xml:space="preserve">=COUNT(A:A)</t>
  </si>
  <si>
    <t xml:space="preserve">=SUM(A:B)</t>
  </si>
  <si>
    <t xml:space="preserve">=SUM(C:C)</t>
  </si>
  <si>
    <t xml:space="preserve">='Data'!A1</t>
  </si>
  <si>
    <t xml:space="preserve">='Other'!B1</t>
  </si>
  <si>
    <t xml:space="preserve">=SUM(Data!A1:A3,Other!A1:B1)</t>
  </si>
  <si>
    <t xml:space="preserve">=Other!A1+H1</t>
  </si>
  <si>
    <t xml:space="preserve">=SUM(Data!H1:H2)</t>
  </si>
  <si>
    <t xml:space="preserve">=MAX(Data!C1:C6)-MIN(Other!A1,0)</t>
  </si>
  <si>
    <t xml:space="preserve">=SUM(A1:A3)*Other!A1</t>
  </si>
  <si>
    <t xml:space="preserve">=#DIV/0!</t>
  </si>
  <si>
    <t xml:space="preserve">=#N/A</t>
  </si>
  <si>
    <t xml:space="preserve">=#VALUE!</t>
  </si>
  <si>
    <t xml:space="preserve">=#REF!</t>
  </si>
  <si>
    <t xml:space="preserve">=#NAME?</t>
  </si>
  <si>
    <t xml:space="preserve">=#NUM!</t>
  </si>
  <si>
    <t xml:space="preserve">=#NULL!</t>
  </si>
  <si>
    <t xml:space="preserve">=IFERROR(#DIV/0!,"e")</t>
  </si>
  <si>
    <t xml:space="preserve">=IFERROR(#N/A,"e")</t>
  </si>
  <si>
    <t xml:space="preserve">=IFERROR(#VALUE!,"e")</t>
  </si>
  <si>
    <t xml:space="preserve">=IFERROR(#REF!,"e")</t>
  </si>
  <si>
    <t xml:space="preserve">=IFERROR(#NAME?,"e")</t>
  </si>
  <si>
    <t xml:space="preserve">=IFERROR(#NUM!,"e")</t>
  </si>
  <si>
    <t xml:space="preserve">=IFERROR(#NULL!,"e")</t>
  </si>
  <si>
    <t xml:space="preserve">=ISERROR(#DIV/0!)</t>
  </si>
  <si>
    <t xml:space="preserve">=ISERROR(#N/A)</t>
  </si>
  <si>
    <t xml:space="preserve">=ISERROR(#VALUE!)</t>
  </si>
  <si>
    <t xml:space="preserve">=ISERROR(#REF!)</t>
  </si>
  <si>
    <t xml:space="preserve">=ISERROR(#NAME?)</t>
  </si>
  <si>
    <t xml:space="preserve">=ISERROR(#NUM!)</t>
  </si>
  <si>
    <t xml:space="preserve">=ISERROR(#NULL!)</t>
  </si>
  <si>
    <t xml:space="preserve">=ISNA(#N/A)</t>
  </si>
  <si>
    <t xml:space="preserve">=ISNA(#DIV/0!)</t>
  </si>
  <si>
    <t xml:space="preserve">=ISNA(#VALUE!)</t>
  </si>
  <si>
    <t xml:space="preserve">=ISNA(#REF!)</t>
  </si>
  <si>
    <t xml:space="preserve">=ISNA(#NAME?)</t>
  </si>
  <si>
    <t xml:space="preserve">=ISNA(#NUM!)</t>
  </si>
  <si>
    <t xml:space="preserve">=ISNA(#NULL!)</t>
  </si>
  <si>
    <t xml:space="preserve">=UNKNOWNFN(1)</t>
  </si>
  <si>
    <t xml:space="preserve">=H1</t>
  </si>
  <si>
    <t xml:space="preserve">=IF(ISERROR(H1),"bad","ok")</t>
  </si>
  <si>
    <t xml:space="preserve">=IF(ISNA(H2),"na",IF(ISERROR(H2),"err","ok"))</t>
  </si>
  <si>
    <t xml:space="preserve">=ISERROR(UNKNOWNFN(1))</t>
  </si>
  <si>
    <t xml:space="preserve">=ISNA(UNKNOWNFN(1))</t>
  </si>
  <si>
    <t xml:space="preserve">=#VALUE!+1</t>
  </si>
  <si>
    <t xml:space="preserve">=ABS(#NUM!)</t>
  </si>
  <si>
    <t xml:space="preserve">=#N/A&amp;"x"</t>
  </si>
  <si>
    <t xml:space="preserve">=MAX(#REF!,1)</t>
  </si>
  <si>
    <t xml:space="preserve">=CHOOSE(2,1,#NAME?)</t>
  </si>
  <si>
    <t xml:space="preserve">=SQRT(-1)+1</t>
  </si>
  <si>
    <t xml:space="preserve">=IFERROR(SQRT(-1),"nan")</t>
  </si>
  <si>
    <t xml:space="preserve">=ISNA(SQRT(-1))</t>
  </si>
  <si>
    <t xml:space="preserve">=LEN(#N/A)</t>
  </si>
  <si>
    <t xml:space="preserve">=UNKNOWNFN(H1)</t>
  </si>
  <si>
    <t xml:space="preserve">=SUM(UNKNOWNFN(1),1)</t>
  </si>
  <si>
    <t xml:space="preserve">=MATCH(1,B1:B6,0)</t>
  </si>
  <si>
    <t xml:space="preserve">=Nope!A1</t>
  </si>
  <si>
    <t xml:space="preserve">=#N/A+#DIV/0!</t>
  </si>
  <si>
    <t xml:space="preserve">=#DIV/0!+#N/A</t>
  </si>
  <si>
    <t xml:space="preserve">=IF(#N/A,1,2)</t>
  </si>
  <si>
    <t xml:space="preserve">=-#NUM!</t>
  </si>
  <si>
    <t xml:space="preserve">=1/0+NA()</t>
  </si>
  <si>
    <t xml:space="preserve">remote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</si>
</sst>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mm/dd/yy"/>
    <numFmt numFmtId="167" formatCode="mm/dd/yy\ hh:mm\ AM/PM"/>
    <numFmt numFmtId="168" formatCode="[hh]:mm:ss"/>
    <numFmt numFmtId="169" formatCode="0.0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C1" s="0" t="n">
        <v>10.5</v>
      </c>
      <c r="D1" s="1" t="b">
        <f aca="false">TRUE()</f>
        <v>1</v>
      </c>
      <c r="E1" s="2" t="n">
        <v>45306</v>
      </c>
      <c r="F1" s="0" t="n">
        <v>100</v>
      </c>
      <c r="G1" s="0" t="s">
        <v>1</v>
      </c>
      <c r="H1" s="0" t="e">
        <f aca="false">1/0</f>
        <v>#DIV/0!</v>
      </c>
      <c r="K1" s="0" t="s">
        <v>2</v>
      </c>
      <c r="L1" s="0" t="n">
        <f aca="false">SUM(1,2,3)</f>
        <v>6</v>
      </c>
    </row>
    <row r="2" customFormat="false" ht="12.8" hidden="false" customHeight="false" outlineLevel="0" collapsed="false">
      <c r="A2" s="0" t="n">
        <v>2</v>
      </c>
      <c r="B2" s="0" t="s">
        <v>3</v>
      </c>
      <c r="C2" s="0" t="n">
        <v>-2</v>
      </c>
      <c r="D2" s="1" t="b">
        <f aca="false">FALSE()</f>
        <v>0</v>
      </c>
      <c r="E2" s="2" t="n">
        <v>45657</v>
      </c>
      <c r="F2" s="0" t="n">
        <v>200</v>
      </c>
      <c r="G2" s="0" t="s">
        <v>4</v>
      </c>
      <c r="H2" s="0" t="e">
        <f aca="false">NA()</f>
        <v>#N/A</v>
      </c>
      <c r="K2" s="0" t="s">
        <v>5</v>
      </c>
      <c r="L2" s="0" t="n">
        <f aca="false">SUM(A1:A6)</f>
        <v>21</v>
      </c>
    </row>
    <row r="3" customFormat="false" ht="12.8" hidden="false" customHeight="false" outlineLevel="0" collapsed="false">
      <c r="A3" s="0" t="n">
        <v>3</v>
      </c>
      <c r="B3" s="0" t="s">
        <v>6</v>
      </c>
      <c r="C3" s="0" t="n">
        <v>0</v>
      </c>
      <c r="D3" s="0" t="str">
        <f aca="false">""</f>
        <v/>
      </c>
      <c r="E3" s="0" t="n">
        <v>45306.75</v>
      </c>
      <c r="F3" s="0" t="n">
        <v>300</v>
      </c>
      <c r="G3" s="0" t="s">
        <v>7</v>
      </c>
      <c r="K3" s="0" t="s">
        <v>8</v>
      </c>
      <c r="L3" s="0" t="n">
        <f aca="false">SUM(C1:C6)</f>
        <v>1000111.75</v>
      </c>
    </row>
    <row r="4" customFormat="false" ht="12.8" hidden="false" customHeight="false" outlineLevel="0" collapsed="false">
      <c r="A4" s="0" t="n">
        <v>4</v>
      </c>
      <c r="B4" s="0" t="s">
        <v>9</v>
      </c>
      <c r="C4" s="0" t="n">
        <v>100</v>
      </c>
      <c r="E4" s="0" t="n">
        <v>0.5</v>
      </c>
      <c r="F4" s="0" t="n">
        <v>400</v>
      </c>
      <c r="G4" s="0" t="s">
        <v>10</v>
      </c>
      <c r="K4" s="0" t="s">
        <v>11</v>
      </c>
      <c r="L4" s="0" t="n">
        <f aca="false">SUM(D1:D6)</f>
        <v>1</v>
      </c>
    </row>
    <row r="5" customFormat="false" ht="12.8" hidden="false" customHeight="false" outlineLevel="0" collapsed="false">
      <c r="A5" s="0" t="n">
        <v>5</v>
      </c>
      <c r="B5" s="0" t="s">
        <v>12</v>
      </c>
      <c r="C5" s="0" t="n">
        <v>3.25</v>
      </c>
      <c r="D5" s="0" t="s">
        <v>13</v>
      </c>
      <c r="K5" s="0" t="s">
        <v>14</v>
      </c>
      <c r="L5" s="0" t="n">
        <f aca="false">SUM(B1:B3)</f>
        <v>0</v>
      </c>
    </row>
    <row r="6" customFormat="false" ht="12.8" hidden="false" customHeight="false" outlineLevel="0" collapsed="false">
      <c r="A6" s="0" t="n">
        <v>6</v>
      </c>
      <c r="B6" s="0" t="s">
        <v>15</v>
      </c>
      <c r="C6" s="0" t="n">
        <v>1000000</v>
      </c>
      <c r="D6" s="0" t="s">
        <v>16</v>
      </c>
      <c r="K6" s="0" t="s">
        <v>17</v>
      </c>
      <c r="L6" s="0" t="e">
        <f aca="false">SUM("3",4)</f>
        <v>#VALUE!</v>
      </c>
    </row>
    <row r="7" customFormat="false" ht="12.8" hidden="false" customHeight="false" outlineLevel="0" collapsed="false">
      <c r="K7" s="0" t="s">
        <v>18</v>
      </c>
      <c r="L7" s="0" t="n">
        <f aca="false">SUM(TRUE(),1)</f>
        <v>2</v>
      </c>
    </row>
    <row r="8" customFormat="false" ht="12.8" hidden="false" customHeight="false" outlineLevel="0" collapsed="false">
      <c r="K8" s="0" t="s">
        <v>19</v>
      </c>
      <c r="L8" s="0" t="e">
        <f aca="false">SUM(A1:A3,H1)</f>
        <v>#DIV/0!</v>
      </c>
    </row>
    <row r="9" customFormat="false" ht="12.8" hidden="false" customHeight="false" outlineLevel="0" collapsed="false">
      <c r="K9" s="0" t="s">
        <v>20</v>
      </c>
      <c r="L9" s="0" t="e">
        <f aca="false">SUM(H1:H2)</f>
        <v>#DIV/0!</v>
      </c>
    </row>
    <row r="10" customFormat="false" ht="12.8" hidden="false" customHeight="false" outlineLevel="0" collapsed="false">
      <c r="K10" s="0" t="s">
        <v>21</v>
      </c>
      <c r="L10" s="0" t="n">
        <f aca="false">SUM(A1:A2,D4)</f>
        <v>3</v>
      </c>
    </row>
    <row r="11" customFormat="false" ht="12.8" hidden="false" customHeight="false" outlineLevel="0" collapsed="false">
      <c r="K11" s="0" t="s">
        <v>22</v>
      </c>
      <c r="L11" s="0" t="n">
        <f aca="false">AVERAGE(A1:A6)</f>
        <v>3.5</v>
      </c>
    </row>
    <row r="12" customFormat="false" ht="12.8" hidden="false" customHeight="false" outlineLevel="0" collapsed="false">
      <c r="K12" s="0" t="s">
        <v>23</v>
      </c>
      <c r="L12" s="0" t="n">
        <f aca="false">AVERAGE(C1:C4)</f>
        <v>27.125</v>
      </c>
    </row>
    <row r="13" customFormat="false" ht="12.8" hidden="false" customHeight="false" outlineLevel="0" collapsed="false">
      <c r="K13" s="0" t="s">
        <v>24</v>
      </c>
      <c r="L13" s="0" t="e">
        <f aca="false">AVERAGE(B1:B3)</f>
        <v>#DIV/0!</v>
      </c>
    </row>
    <row r="14" customFormat="false" ht="12.8" hidden="false" customHeight="false" outlineLevel="0" collapsed="false">
      <c r="K14" s="0" t="s">
        <v>25</v>
      </c>
      <c r="L14" s="0" t="e">
        <f aca="false">AVERAGE(A1,H1)</f>
        <v>#DIV/0!</v>
      </c>
    </row>
    <row r="15" customFormat="false" ht="12.8" hidden="false" customHeight="false" outlineLevel="0" collapsed="false">
      <c r="K15" s="0" t="s">
        <v>26</v>
      </c>
      <c r="L15" s="0" t="n">
        <f aca="false">AVERAGE(D1:D6)</f>
        <v>0.5</v>
      </c>
    </row>
    <row r="16" customFormat="false" ht="12.8" hidden="false" customHeight="false" outlineLevel="0" collapsed="false">
      <c r="K16" s="0" t="s">
        <v>27</v>
      </c>
      <c r="L16" s="0" t="e">
        <f aca="false">AVERAGE(1,"3")</f>
        <v>#VALUE!</v>
      </c>
    </row>
    <row r="17" customFormat="false" ht="12.8" hidden="false" customHeight="false" outlineLevel="0" collapsed="false">
      <c r="K17" s="0" t="s">
        <v>28</v>
      </c>
      <c r="L17" s="0" t="n">
        <f aca="false">AVERAGE(A1:A2,D4)</f>
        <v>1.5</v>
      </c>
    </row>
    <row r="18" customFormat="false" ht="12.8" hidden="false" customHeight="false" outlineLevel="0" collapsed="false">
      <c r="K18" s="0" t="s">
        <v>29</v>
      </c>
      <c r="L18" s="0" t="n">
        <f aca="false">AVERAGE(0,0)</f>
        <v>0</v>
      </c>
    </row>
    <row r="19" customFormat="false" ht="12.8" hidden="false" customHeight="false" outlineLevel="0" collapsed="false">
      <c r="K19" s="0" t="s">
        <v>30</v>
      </c>
      <c r="L19" s="0" t="n">
        <f aca="false">MIN(C1:C6)</f>
        <v>-2</v>
      </c>
    </row>
    <row r="20" customFormat="false" ht="12.8" hidden="false" customHeight="false" outlineLevel="0" collapsed="false">
      <c r="K20" s="0" t="s">
        <v>31</v>
      </c>
      <c r="L20" s="0" t="n">
        <f aca="false">MIN(1,2,-3)</f>
        <v>-3</v>
      </c>
    </row>
    <row r="21" customFormat="false" ht="12.8" hidden="false" customHeight="false" outlineLevel="0" collapsed="false">
      <c r="K21" s="0" t="s">
        <v>32</v>
      </c>
      <c r="L21" s="0" t="n">
        <f aca="false">MIN(B1:B3)</f>
        <v>0</v>
      </c>
    </row>
    <row r="22" customFormat="false" ht="12.8" hidden="false" customHeight="false" outlineLevel="0" collapsed="false">
      <c r="K22" s="0" t="s">
        <v>33</v>
      </c>
      <c r="L22" s="0" t="e">
        <f aca="false">MIN(A1:A3,H1)</f>
        <v>#DIV/0!</v>
      </c>
    </row>
    <row r="23" customFormat="false" ht="12.8" hidden="false" customHeight="false" outlineLevel="0" collapsed="false">
      <c r="K23" s="0" t="s">
        <v>34</v>
      </c>
      <c r="L23" s="1" t="b">
        <f aca="false">MIN(D1:D2)</f>
        <v>0</v>
      </c>
    </row>
    <row r="24" customFormat="false" ht="12.8" hidden="false" customHeight="false" outlineLevel="0" collapsed="false">
      <c r="K24" s="0" t="s">
        <v>35</v>
      </c>
      <c r="L24" s="0" t="n">
        <f aca="false">MIN(TRUE(),5)</f>
        <v>1</v>
      </c>
    </row>
    <row r="25" customFormat="false" ht="12.8" hidden="false" customHeight="false" outlineLevel="0" collapsed="false">
      <c r="K25" s="0" t="s">
        <v>36</v>
      </c>
      <c r="L25" s="0" t="n">
        <f aca="false">MIN(C1:C3,D4)</f>
        <v>-2</v>
      </c>
    </row>
    <row r="26" customFormat="false" ht="12.8" hidden="false" customHeight="false" outlineLevel="0" collapsed="false">
      <c r="K26" s="0" t="s">
        <v>37</v>
      </c>
      <c r="L26" s="0" t="n">
        <f aca="false">MAX(C1:C6)</f>
        <v>1000000</v>
      </c>
    </row>
    <row r="27" customFormat="false" ht="12.8" hidden="false" customHeight="false" outlineLevel="0" collapsed="false">
      <c r="K27" s="0" t="s">
        <v>38</v>
      </c>
      <c r="L27" s="0" t="n">
        <f aca="false">MAX(-5,-2)</f>
        <v>-2</v>
      </c>
    </row>
    <row r="28" customFormat="false" ht="12.8" hidden="false" customHeight="false" outlineLevel="0" collapsed="false">
      <c r="K28" s="0" t="s">
        <v>39</v>
      </c>
      <c r="L28" s="0" t="n">
        <f aca="false">MAX(B1:B3)</f>
        <v>0</v>
      </c>
    </row>
    <row r="29" customFormat="false" ht="12.8" hidden="false" customHeight="false" outlineLevel="0" collapsed="false">
      <c r="K29" s="0" t="s">
        <v>40</v>
      </c>
      <c r="L29" s="0" t="e">
        <f aca="false">MAX(H2,1)</f>
        <v>#N/A</v>
      </c>
    </row>
    <row r="30" customFormat="false" ht="12.8" hidden="false" customHeight="false" outlineLevel="0" collapsed="false">
      <c r="K30" s="0" t="s">
        <v>41</v>
      </c>
      <c r="L30" s="0" t="n">
        <f aca="false">MAX(D4,-1)</f>
        <v>-1</v>
      </c>
    </row>
    <row r="31" customFormat="false" ht="12.8" hidden="false" customHeight="false" outlineLevel="0" collapsed="false">
      <c r="K31" s="0" t="s">
        <v>42</v>
      </c>
      <c r="L31" s="0" t="e">
        <f aca="false">MAX(A1:A6,"x")</f>
        <v>#VALUE!</v>
      </c>
    </row>
    <row r="32" customFormat="false" ht="12.8" hidden="false" customHeight="false" outlineLevel="0" collapsed="false">
      <c r="K32" s="0" t="s">
        <v>43</v>
      </c>
      <c r="L32" s="0" t="n">
        <f aca="false">MAX(-3,D4)</f>
        <v>-3</v>
      </c>
    </row>
    <row r="33" customFormat="false" ht="12.8" hidden="false" customHeight="false" outlineLevel="0" collapsed="false">
      <c r="K33" s="0" t="s">
        <v>44</v>
      </c>
      <c r="L33" s="0" t="n">
        <f aca="false">COUNT(A1:A6)</f>
        <v>6</v>
      </c>
    </row>
    <row r="34" customFormat="false" ht="12.8" hidden="false" customHeight="false" outlineLevel="0" collapsed="false">
      <c r="K34" s="0" t="s">
        <v>45</v>
      </c>
      <c r="L34" s="0" t="n">
        <f aca="false">COUNT(A1:D6)</f>
        <v>14</v>
      </c>
    </row>
    <row r="35" customFormat="false" ht="12.8" hidden="false" customHeight="false" outlineLevel="0" collapsed="false">
      <c r="K35" s="0" t="s">
        <v>46</v>
      </c>
      <c r="L35" s="0" t="n">
        <f aca="false">COUNT(1,"a",TRUE())</f>
        <v>2</v>
      </c>
    </row>
    <row r="36" customFormat="false" ht="12.8" hidden="false" customHeight="false" outlineLevel="0" collapsed="false">
      <c r="K36" s="0" t="s">
        <v>47</v>
      </c>
      <c r="L36" s="0" t="n">
        <f aca="false">COUNT(B1:B6)</f>
        <v>0</v>
      </c>
    </row>
    <row r="37" customFormat="false" ht="12.8" hidden="false" customHeight="false" outlineLevel="0" collapsed="false">
      <c r="K37" s="0" t="s">
        <v>48</v>
      </c>
      <c r="L37" s="0" t="n">
        <f aca="false">COUNT(H1:H2)</f>
        <v>0</v>
      </c>
    </row>
    <row r="38" customFormat="false" ht="12.8" hidden="false" customHeight="false" outlineLevel="0" collapsed="false">
      <c r="K38" s="0" t="s">
        <v>49</v>
      </c>
      <c r="L38" s="0" t="n">
        <f aca="false">COUNT(D1:D6)</f>
        <v>2</v>
      </c>
    </row>
    <row r="39" customFormat="false" ht="12.8" hidden="false" customHeight="false" outlineLevel="0" collapsed="false">
      <c r="K39" s="0" t="s">
        <v>50</v>
      </c>
      <c r="L39" s="0" t="n">
        <f aca="false">COUNT(E1:E4)</f>
        <v>4</v>
      </c>
    </row>
    <row r="40" customFormat="false" ht="12.8" hidden="false" customHeight="false" outlineLevel="0" collapsed="false">
      <c r="K40" s="0" t="s">
        <v>51</v>
      </c>
      <c r="L40" s="0" t="n">
        <f aca="false">COUNT("5")</f>
        <v>1</v>
      </c>
    </row>
    <row r="41" customFormat="false" ht="12.8" hidden="false" customHeight="false" outlineLevel="0" collapsed="false">
      <c r="K41" s="0" t="s">
        <v>52</v>
      </c>
      <c r="L41" s="0" t="n">
        <f aca="false">COUNT(A1,H1)</f>
        <v>1</v>
      </c>
    </row>
    <row r="42" customFormat="false" ht="12.8" hidden="false" customHeight="false" outlineLevel="0" collapsed="false">
      <c r="K42" s="0" t="s">
        <v>53</v>
      </c>
      <c r="L42" s="0" t="n">
        <f aca="false">COUNTA(A1:D6)</f>
        <v>23</v>
      </c>
    </row>
    <row r="43" customFormat="false" ht="12.8" hidden="false" customHeight="false" outlineLevel="0" collapsed="false">
      <c r="K43" s="0" t="s">
        <v>54</v>
      </c>
      <c r="L43" s="0" t="n">
        <f aca="false">COUNTA(D1:D6)</f>
        <v>5</v>
      </c>
    </row>
    <row r="44" customFormat="false" ht="12.8" hidden="false" customHeight="false" outlineLevel="0" collapsed="false">
      <c r="K44" s="0" t="s">
        <v>55</v>
      </c>
      <c r="L44" s="0" t="n">
        <f aca="false">COUNTA(H1:H2)</f>
        <v>2</v>
      </c>
    </row>
    <row r="45" customFormat="false" ht="12.8" hidden="false" customHeight="false" outlineLevel="0" collapsed="false">
      <c r="K45" s="0" t="s">
        <v>56</v>
      </c>
      <c r="L45" s="0" t="n">
        <f aca="false">COUNTA(D4)</f>
        <v>0</v>
      </c>
    </row>
    <row r="46" customFormat="false" ht="12.8" hidden="false" customHeight="false" outlineLevel="0" collapsed="false">
      <c r="K46" s="0" t="s">
        <v>57</v>
      </c>
      <c r="L46" s="0" t="n">
        <f aca="false">COUNTA(D3)</f>
        <v>1</v>
      </c>
    </row>
    <row r="47" customFormat="false" ht="12.8" hidden="false" customHeight="false" outlineLevel="0" collapsed="false">
      <c r="K47" s="0" t="s">
        <v>58</v>
      </c>
      <c r="L47" s="0" t="n">
        <f aca="false">COUNTA(1,"",TRUE())</f>
        <v>3</v>
      </c>
    </row>
    <row r="48" customFormat="false" ht="12.8" hidden="false" customHeight="false" outlineLevel="0" collapsed="false">
      <c r="K48" s="0" t="s">
        <v>59</v>
      </c>
      <c r="L48" s="0" t="n">
        <f aca="false">ROUND(2.5,0)</f>
        <v>3</v>
      </c>
    </row>
    <row r="49" customFormat="false" ht="12.8" hidden="false" customHeight="false" outlineLevel="0" collapsed="false">
      <c r="K49" s="0" t="s">
        <v>60</v>
      </c>
      <c r="L49" s="0" t="n">
        <f aca="false">ROUND(-2.5,0)</f>
        <v>-3</v>
      </c>
    </row>
    <row r="50" customFormat="false" ht="12.8" hidden="false" customHeight="false" outlineLevel="0" collapsed="false">
      <c r="K50" s="0" t="s">
        <v>61</v>
      </c>
      <c r="L50" s="0" t="n">
        <f aca="false">ROUND(1234.5678,2)</f>
        <v>1234.57</v>
      </c>
    </row>
    <row r="51" customFormat="false" ht="12.8" hidden="false" customHeight="false" outlineLevel="0" collapsed="false">
      <c r="K51" s="0" t="s">
        <v>62</v>
      </c>
      <c r="L51" s="0" t="n">
        <f aca="false">ROUND(1234.5678,-2)</f>
        <v>1200</v>
      </c>
    </row>
    <row r="52" customFormat="false" ht="12.8" hidden="false" customHeight="false" outlineLevel="0" collapsed="false">
      <c r="K52" s="0" t="s">
        <v>63</v>
      </c>
      <c r="L52" s="0" t="n">
        <f aca="false">ROUND(C1,0)</f>
        <v>11</v>
      </c>
    </row>
    <row r="53" customFormat="false" ht="12.8" hidden="false" customHeight="false" outlineLevel="0" collapsed="false">
      <c r="K53" s="0" t="s">
        <v>64</v>
      </c>
      <c r="L53" s="0" t="e">
        <f aca="false">ROUND(H1,0)</f>
        <v>#DIV/0!</v>
      </c>
    </row>
    <row r="54" customFormat="false" ht="12.8" hidden="false" customHeight="false" outlineLevel="0" collapsed="false">
      <c r="K54" s="0" t="s">
        <v>65</v>
      </c>
      <c r="L54" s="0" t="n">
        <f aca="false">ROUND("3.7",0)</f>
        <v>4</v>
      </c>
    </row>
    <row r="55" customFormat="false" ht="12.8" hidden="false" customHeight="false" outlineLevel="0" collapsed="false">
      <c r="K55" s="0" t="s">
        <v>66</v>
      </c>
      <c r="L55" s="0" t="n">
        <f aca="false">ROUND(D4,2)</f>
        <v>0</v>
      </c>
    </row>
    <row r="56" customFormat="false" ht="12.8" hidden="false" customHeight="false" outlineLevel="0" collapsed="false">
      <c r="K56" s="0" t="s">
        <v>67</v>
      </c>
      <c r="L56" s="0" t="n">
        <f aca="false">ROUND(C5,1)</f>
        <v>3.3</v>
      </c>
    </row>
    <row r="57" customFormat="false" ht="12.8" hidden="false" customHeight="false" outlineLevel="0" collapsed="false">
      <c r="K57" s="0" t="s">
        <v>68</v>
      </c>
      <c r="L57" s="0" t="n">
        <f aca="false">ROUND(2.675,2)</f>
        <v>2.68</v>
      </c>
    </row>
    <row r="58" customFormat="false" ht="12.8" hidden="false" customHeight="false" outlineLevel="0" collapsed="false">
      <c r="K58" s="0" t="s">
        <v>69</v>
      </c>
      <c r="L58" s="0" t="e">
        <f aca="false">ROUND(B1,0)</f>
        <v>#VALUE!</v>
      </c>
    </row>
    <row r="59" customFormat="false" ht="12.8" hidden="false" customHeight="false" outlineLevel="0" collapsed="false">
      <c r="K59" s="0" t="s">
        <v>70</v>
      </c>
      <c r="L59" s="0" t="n">
        <f aca="false">ROUNDUP(2.1,0)</f>
        <v>3</v>
      </c>
    </row>
    <row r="60" customFormat="false" ht="12.8" hidden="false" customHeight="false" outlineLevel="0" collapsed="false">
      <c r="K60" s="0" t="s">
        <v>71</v>
      </c>
      <c r="L60" s="0" t="n">
        <f aca="false">ROUNDUP(-2.1,0)</f>
        <v>-3</v>
      </c>
    </row>
    <row r="61" customFormat="false" ht="12.8" hidden="false" customHeight="false" outlineLevel="0" collapsed="false">
      <c r="K61" s="0" t="s">
        <v>72</v>
      </c>
      <c r="L61" s="0" t="n">
        <f aca="false">ROUNDUP(3.14159,3)</f>
        <v>3.142</v>
      </c>
    </row>
    <row r="62" customFormat="false" ht="12.8" hidden="false" customHeight="false" outlineLevel="0" collapsed="false">
      <c r="K62" s="0" t="s">
        <v>73</v>
      </c>
      <c r="L62" s="0" t="n">
        <f aca="false">ROUNDUP(C1,0)</f>
        <v>11</v>
      </c>
    </row>
    <row r="63" customFormat="false" ht="12.8" hidden="false" customHeight="false" outlineLevel="0" collapsed="false">
      <c r="K63" s="0" t="s">
        <v>74</v>
      </c>
      <c r="L63" s="0" t="n">
        <f aca="false">ROUNDUP(0,0)</f>
        <v>0</v>
      </c>
    </row>
    <row r="64" customFormat="false" ht="12.8" hidden="false" customHeight="false" outlineLevel="0" collapsed="false">
      <c r="K64" s="0" t="s">
        <v>75</v>
      </c>
      <c r="L64" s="0" t="e">
        <f aca="false">ROUNDUP(H1,1)</f>
        <v>#DIV/0!</v>
      </c>
    </row>
    <row r="65" customFormat="false" ht="12.8" hidden="false" customHeight="false" outlineLevel="0" collapsed="false">
      <c r="K65" s="0" t="s">
        <v>76</v>
      </c>
      <c r="L65" s="0" t="n">
        <f aca="false">ROUNDUP(1234,-2)</f>
        <v>1300</v>
      </c>
    </row>
    <row r="66" customFormat="false" ht="12.8" hidden="false" customHeight="false" outlineLevel="0" collapsed="false">
      <c r="K66" s="0" t="s">
        <v>77</v>
      </c>
      <c r="L66" s="0" t="n">
        <f aca="false">ROUNDUP(A1,0)</f>
        <v>1</v>
      </c>
    </row>
    <row r="67" customFormat="false" ht="12.8" hidden="false" customHeight="false" outlineLevel="0" collapsed="false">
      <c r="K67" s="0" t="s">
        <v>78</v>
      </c>
      <c r="L67" s="0" t="n">
        <f aca="false">ROUNDDOWN(2.9,0)</f>
        <v>2</v>
      </c>
    </row>
    <row r="68" customFormat="false" ht="12.8" hidden="false" customHeight="false" outlineLevel="0" collapsed="false">
      <c r="K68" s="0" t="s">
        <v>79</v>
      </c>
      <c r="L68" s="0" t="n">
        <f aca="false">ROUNDDOWN(-2.9,0)</f>
        <v>-2</v>
      </c>
    </row>
    <row r="69" customFormat="false" ht="12.8" hidden="false" customHeight="false" outlineLevel="0" collapsed="false">
      <c r="K69" s="0" t="s">
        <v>80</v>
      </c>
      <c r="L69" s="0" t="n">
        <f aca="false">ROUNDDOWN(3.14159,3)</f>
        <v>3.141</v>
      </c>
    </row>
    <row r="70" customFormat="false" ht="12.8" hidden="false" customHeight="false" outlineLevel="0" collapsed="false">
      <c r="K70" s="0" t="s">
        <v>81</v>
      </c>
      <c r="L70" s="0" t="n">
        <f aca="false">ROUNDDOWN(C5,1)</f>
        <v>3.2</v>
      </c>
    </row>
    <row r="71" customFormat="false" ht="12.8" hidden="false" customHeight="false" outlineLevel="0" collapsed="false">
      <c r="K71" s="0" t="s">
        <v>82</v>
      </c>
      <c r="L71" s="0" t="n">
        <f aca="false">ROUNDDOWN(1999,-3)</f>
        <v>1000</v>
      </c>
    </row>
    <row r="72" customFormat="false" ht="12.8" hidden="false" customHeight="false" outlineLevel="0" collapsed="false">
      <c r="K72" s="0" t="s">
        <v>83</v>
      </c>
      <c r="L72" s="0" t="e">
        <f aca="false">ROUNDDOWN(H1,0)</f>
        <v>#DIV/0!</v>
      </c>
    </row>
    <row r="73" customFormat="false" ht="12.8" hidden="false" customHeight="false" outlineLevel="0" collapsed="false">
      <c r="K73" s="0" t="s">
        <v>84</v>
      </c>
      <c r="L73" s="0" t="n">
        <f aca="false">ROUNDDOWN(D4,0)</f>
        <v>0</v>
      </c>
    </row>
    <row r="74" customFormat="false" ht="12.8" hidden="false" customHeight="false" outlineLevel="0" collapsed="false">
      <c r="K74" s="0" t="s">
        <v>85</v>
      </c>
      <c r="L74" s="0" t="n">
        <f aca="false">INT(2.7)</f>
        <v>2</v>
      </c>
    </row>
    <row r="75" customFormat="false" ht="12.8" hidden="false" customHeight="false" outlineLevel="0" collapsed="false">
      <c r="K75" s="0" t="s">
        <v>86</v>
      </c>
      <c r="L75" s="0" t="n">
        <f aca="false">INT(-2.1)</f>
        <v>-3</v>
      </c>
    </row>
    <row r="76" customFormat="false" ht="12.8" hidden="false" customHeight="false" outlineLevel="0" collapsed="false">
      <c r="K76" s="0" t="s">
        <v>87</v>
      </c>
      <c r="L76" s="0" t="n">
        <f aca="false">INT(C1)</f>
        <v>10</v>
      </c>
    </row>
    <row r="77" customFormat="false" ht="12.8" hidden="false" customHeight="false" outlineLevel="0" collapsed="false">
      <c r="K77" s="0" t="s">
        <v>88</v>
      </c>
      <c r="L77" s="0" t="n">
        <f aca="false">INT(C2)</f>
        <v>-2</v>
      </c>
    </row>
    <row r="78" customFormat="false" ht="12.8" hidden="false" customHeight="false" outlineLevel="0" collapsed="false">
      <c r="K78" s="0" t="s">
        <v>89</v>
      </c>
      <c r="L78" s="0" t="n">
        <f aca="false">INT(E3)</f>
        <v>45306</v>
      </c>
    </row>
    <row r="79" customFormat="false" ht="12.8" hidden="false" customHeight="false" outlineLevel="0" collapsed="false">
      <c r="K79" s="0" t="s">
        <v>90</v>
      </c>
      <c r="L79" s="0" t="n">
        <f aca="false">INT("7.9")</f>
        <v>7</v>
      </c>
    </row>
    <row r="80" customFormat="false" ht="12.8" hidden="false" customHeight="false" outlineLevel="0" collapsed="false">
      <c r="K80" s="0" t="s">
        <v>91</v>
      </c>
      <c r="L80" s="0" t="e">
        <f aca="false">INT(H1)</f>
        <v>#DIV/0!</v>
      </c>
    </row>
    <row r="81" customFormat="false" ht="12.8" hidden="false" customHeight="false" outlineLevel="0" collapsed="false">
      <c r="K81" s="0" t="s">
        <v>92</v>
      </c>
      <c r="L81" s="0" t="n">
        <f aca="false">INT(D4)</f>
        <v>0</v>
      </c>
    </row>
    <row r="82" customFormat="false" ht="12.8" hidden="false" customHeight="false" outlineLevel="0" collapsed="false">
      <c r="K82" s="0" t="s">
        <v>93</v>
      </c>
      <c r="L82" s="0" t="n">
        <f aca="false">INT(TRUE())</f>
        <v>1</v>
      </c>
    </row>
    <row r="83" customFormat="false" ht="12.8" hidden="false" customHeight="false" outlineLevel="0" collapsed="false">
      <c r="K83" s="0" t="s">
        <v>94</v>
      </c>
      <c r="L83" s="0" t="e">
        <f aca="false">INT(B1)</f>
        <v>#VALUE!</v>
      </c>
    </row>
    <row r="84" customFormat="false" ht="12.8" hidden="false" customHeight="false" outlineLevel="0" collapsed="false">
      <c r="K84" s="0" t="s">
        <v>95</v>
      </c>
      <c r="L84" s="0" t="n">
        <f aca="false">MOD(10,3)</f>
        <v>1</v>
      </c>
    </row>
    <row r="85" customFormat="false" ht="12.8" hidden="false" customHeight="false" outlineLevel="0" collapsed="false">
      <c r="K85" s="0" t="s">
        <v>96</v>
      </c>
      <c r="L85" s="0" t="n">
        <f aca="false">MOD(-10,3)</f>
        <v>2</v>
      </c>
    </row>
    <row r="86" customFormat="false" ht="12.8" hidden="false" customHeight="false" outlineLevel="0" collapsed="false">
      <c r="K86" s="0" t="s">
        <v>97</v>
      </c>
      <c r="L86" s="0" t="n">
        <f aca="false">MOD(10,-3)</f>
        <v>-2</v>
      </c>
    </row>
    <row r="87" customFormat="false" ht="12.8" hidden="false" customHeight="false" outlineLevel="0" collapsed="false">
      <c r="K87" s="0" t="s">
        <v>98</v>
      </c>
      <c r="L87" s="0" t="e">
        <f aca="false">MOD(5,0)</f>
        <v>#DIV/0!</v>
      </c>
    </row>
    <row r="88" customFormat="false" ht="12.8" hidden="false" customHeight="false" outlineLevel="0" collapsed="false">
      <c r="K88" s="0" t="s">
        <v>99</v>
      </c>
      <c r="L88" s="0" t="n">
        <f aca="false">MOD(A6,A3)</f>
        <v>0</v>
      </c>
    </row>
    <row r="89" customFormat="false" ht="12.8" hidden="false" customHeight="false" outlineLevel="0" collapsed="false">
      <c r="K89" s="0" t="s">
        <v>100</v>
      </c>
      <c r="L89" s="0" t="n">
        <f aca="false">MOD(C1,3)</f>
        <v>1.5</v>
      </c>
    </row>
    <row r="90" customFormat="false" ht="12.8" hidden="false" customHeight="false" outlineLevel="0" collapsed="false">
      <c r="K90" s="0" t="s">
        <v>101</v>
      </c>
      <c r="L90" s="0" t="e">
        <f aca="false">MOD(H1,2)</f>
        <v>#DIV/0!</v>
      </c>
    </row>
    <row r="91" customFormat="false" ht="12.8" hidden="false" customHeight="false" outlineLevel="0" collapsed="false">
      <c r="K91" s="0" t="s">
        <v>102</v>
      </c>
      <c r="L91" s="0" t="n">
        <f aca="false">MOD(3.5,1)</f>
        <v>0.5</v>
      </c>
    </row>
    <row r="92" customFormat="false" ht="12.8" hidden="false" customHeight="false" outlineLevel="0" collapsed="false">
      <c r="K92" s="0" t="s">
        <v>103</v>
      </c>
      <c r="L92" s="0" t="n">
        <f aca="false">MOD(0,5)</f>
        <v>0</v>
      </c>
    </row>
    <row r="93" customFormat="false" ht="12.8" hidden="false" customHeight="false" outlineLevel="0" collapsed="false">
      <c r="K93" s="0" t="s">
        <v>104</v>
      </c>
      <c r="L93" s="0" t="n">
        <f aca="false">MOD(D4,3)</f>
        <v>0</v>
      </c>
    </row>
    <row r="94" customFormat="false" ht="12.8" hidden="false" customHeight="false" outlineLevel="0" collapsed="false">
      <c r="K94" s="0" t="s">
        <v>105</v>
      </c>
      <c r="L94" s="0" t="n">
        <f aca="false">ABS(-5)</f>
        <v>5</v>
      </c>
    </row>
    <row r="95" customFormat="false" ht="12.8" hidden="false" customHeight="false" outlineLevel="0" collapsed="false">
      <c r="K95" s="0" t="s">
        <v>106</v>
      </c>
      <c r="L95" s="0" t="n">
        <f aca="false">ABS(C2)</f>
        <v>2</v>
      </c>
    </row>
    <row r="96" customFormat="false" ht="12.8" hidden="false" customHeight="false" outlineLevel="0" collapsed="false">
      <c r="K96" s="0" t="s">
        <v>107</v>
      </c>
      <c r="L96" s="0" t="n">
        <f aca="false">ABS(0)</f>
        <v>0</v>
      </c>
    </row>
    <row r="97" customFormat="false" ht="12.8" hidden="false" customHeight="false" outlineLevel="0" collapsed="false">
      <c r="K97" s="0" t="s">
        <v>108</v>
      </c>
      <c r="L97" s="0" t="n">
        <f aca="false">ABS(D4)</f>
        <v>0</v>
      </c>
    </row>
    <row r="98" customFormat="false" ht="12.8" hidden="false" customHeight="false" outlineLevel="0" collapsed="false">
      <c r="K98" s="0" t="s">
        <v>109</v>
      </c>
      <c r="L98" s="0" t="e">
        <f aca="false">ABS(H1)</f>
        <v>#DIV/0!</v>
      </c>
    </row>
    <row r="99" customFormat="false" ht="12.8" hidden="false" customHeight="false" outlineLevel="0" collapsed="false">
      <c r="K99" s="0" t="s">
        <v>110</v>
      </c>
      <c r="L99" s="0" t="n">
        <f aca="false">ABS("-3")</f>
        <v>3</v>
      </c>
    </row>
    <row r="100" customFormat="false" ht="12.8" hidden="false" customHeight="false" outlineLevel="0" collapsed="false">
      <c r="K100" s="0" t="s">
        <v>111</v>
      </c>
      <c r="L100" s="0" t="e">
        <f aca="false">ABS(B1)</f>
        <v>#VALUE!</v>
      </c>
    </row>
    <row r="101" customFormat="false" ht="12.8" hidden="false" customHeight="false" outlineLevel="0" collapsed="false">
      <c r="K101" s="0" t="s">
        <v>112</v>
      </c>
      <c r="L101" s="0" t="n">
        <f aca="false">ABS(-0.5)</f>
        <v>0.5</v>
      </c>
    </row>
    <row r="102" customFormat="false" ht="12.8" hidden="false" customHeight="false" outlineLevel="0" collapsed="false">
      <c r="K102" s="0" t="s">
        <v>113</v>
      </c>
      <c r="L102" s="0" t="n">
        <f aca="false">ABS(TRUE())</f>
        <v>1</v>
      </c>
    </row>
    <row r="103" customFormat="false" ht="12.8" hidden="false" customHeight="false" outlineLevel="0" collapsed="false">
      <c r="K103" s="0" t="s">
        <v>114</v>
      </c>
      <c r="L103" s="0" t="n">
        <f aca="false">SQRT(16)</f>
        <v>4</v>
      </c>
    </row>
    <row r="104" customFormat="false" ht="12.8" hidden="false" customHeight="false" outlineLevel="0" collapsed="false">
      <c r="K104" s="0" t="s">
        <v>115</v>
      </c>
      <c r="L104" s="0" t="n">
        <f aca="false">SQRT(2)</f>
        <v>1.4142135623731</v>
      </c>
    </row>
    <row r="105" customFormat="false" ht="12.8" hidden="false" customHeight="false" outlineLevel="0" collapsed="false">
      <c r="K105" s="0" t="s">
        <v>116</v>
      </c>
      <c r="L105" s="0" t="e">
        <f aca="false">SQRT(-1)</f>
        <v>#VALUE!</v>
      </c>
    </row>
    <row r="106" customFormat="false" ht="12.8" hidden="false" customHeight="false" outlineLevel="0" collapsed="false">
      <c r="K106" s="0" t="s">
        <v>117</v>
      </c>
      <c r="L106" s="0" t="n">
        <f aca="false">SQRT(0)</f>
        <v>0</v>
      </c>
    </row>
    <row r="107" customFormat="false" ht="12.8" hidden="false" customHeight="false" outlineLevel="0" collapsed="false">
      <c r="K107" s="0" t="s">
        <v>118</v>
      </c>
      <c r="L107" s="0" t="n">
        <f aca="false">SQRT(A4)</f>
        <v>2</v>
      </c>
    </row>
    <row r="108" customFormat="false" ht="12.8" hidden="false" customHeight="false" outlineLevel="0" collapsed="false">
      <c r="K108" s="0" t="s">
        <v>119</v>
      </c>
      <c r="L108" s="0" t="e">
        <f aca="false">SQRT(H1)</f>
        <v>#DIV/0!</v>
      </c>
    </row>
    <row r="109" customFormat="false" ht="12.8" hidden="false" customHeight="false" outlineLevel="0" collapsed="false">
      <c r="K109" s="0" t="s">
        <v>120</v>
      </c>
      <c r="L109" s="0" t="n">
        <f aca="false">SQRT("9")</f>
        <v>3</v>
      </c>
    </row>
    <row r="110" customFormat="false" ht="12.8" hidden="false" customHeight="false" outlineLevel="0" collapsed="false">
      <c r="K110" s="0" t="s">
        <v>121</v>
      </c>
      <c r="L110" s="0" t="e">
        <f aca="false">SQRT(B1)</f>
        <v>#VALUE!</v>
      </c>
    </row>
    <row r="111" customFormat="false" ht="12.8" hidden="false" customHeight="false" outlineLevel="0" collapsed="false">
      <c r="K111" s="0" t="s">
        <v>122</v>
      </c>
      <c r="L111" s="0" t="n">
        <f aca="false">SQRT(C2*-1)</f>
        <v>1.4142135623731</v>
      </c>
    </row>
    <row r="112" customFormat="false" ht="12.8" hidden="false" customHeight="false" outlineLevel="0" collapsed="false">
      <c r="K112" s="0" t="s">
        <v>123</v>
      </c>
      <c r="L112" s="0" t="n">
        <f aca="false">POWER(2,10)</f>
        <v>1024</v>
      </c>
    </row>
    <row r="113" customFormat="false" ht="12.8" hidden="false" customHeight="false" outlineLevel="0" collapsed="false">
      <c r="K113" s="0" t="s">
        <v>124</v>
      </c>
      <c r="L113" s="0" t="n">
        <f aca="false">POWER(2,-1)</f>
        <v>0.5</v>
      </c>
    </row>
    <row r="114" customFormat="false" ht="12.8" hidden="false" customHeight="false" outlineLevel="0" collapsed="false">
      <c r="K114" s="0" t="s">
        <v>125</v>
      </c>
      <c r="L114" s="0" t="n">
        <f aca="false">POWER(0,0)</f>
        <v>1</v>
      </c>
    </row>
    <row r="115" customFormat="false" ht="12.8" hidden="false" customHeight="false" outlineLevel="0" collapsed="false">
      <c r="K115" s="0" t="s">
        <v>126</v>
      </c>
      <c r="L115" s="0" t="n">
        <f aca="false">POWER(-8,1/3)</f>
        <v>-2</v>
      </c>
    </row>
    <row r="116" customFormat="false" ht="12.8" hidden="false" customHeight="false" outlineLevel="0" collapsed="false">
      <c r="K116" s="0" t="s">
        <v>127</v>
      </c>
      <c r="L116" s="0" t="n">
        <f aca="false">POWER(A3,A2)</f>
        <v>9</v>
      </c>
    </row>
    <row r="117" customFormat="false" ht="12.8" hidden="false" customHeight="false" outlineLevel="0" collapsed="false">
      <c r="K117" s="0" t="s">
        <v>128</v>
      </c>
      <c r="L117" s="0" t="e">
        <f aca="false">POWER(H1,2)</f>
        <v>#DIV/0!</v>
      </c>
    </row>
    <row r="118" customFormat="false" ht="12.8" hidden="false" customHeight="false" outlineLevel="0" collapsed="false">
      <c r="K118" s="0" t="s">
        <v>129</v>
      </c>
      <c r="L118" s="0" t="e">
        <f aca="false">POWER(0,-1)</f>
        <v>#NUM!</v>
      </c>
    </row>
    <row r="119" customFormat="false" ht="12.8" hidden="false" customHeight="false" outlineLevel="0" collapsed="false">
      <c r="K119" s="0" t="s">
        <v>130</v>
      </c>
      <c r="L119" s="0" t="n">
        <f aca="false">POWER(4,0.5)</f>
        <v>2</v>
      </c>
    </row>
    <row r="120" customFormat="false" ht="12.8" hidden="false" customHeight="false" outlineLevel="0" collapsed="false">
      <c r="K120" s="0" t="s">
        <v>131</v>
      </c>
      <c r="L120" s="0" t="n">
        <f aca="false">POWER(-2,3)</f>
        <v>-8</v>
      </c>
    </row>
    <row r="121" customFormat="false" ht="12.8" hidden="false" customHeight="false" outlineLevel="0" collapsed="false">
      <c r="K121" s="0" t="s">
        <v>132</v>
      </c>
      <c r="L121" s="0" t="n">
        <f aca="false">POWER(D4,2)</f>
        <v>0</v>
      </c>
    </row>
    <row r="122" customFormat="false" ht="12.8" hidden="false" customHeight="false" outlineLevel="0" collapsed="false">
      <c r="K122" s="0" t="s">
        <v>133</v>
      </c>
      <c r="L122" s="0" t="n">
        <f aca="false">PI()</f>
        <v>3.14159265358979</v>
      </c>
    </row>
    <row r="123" customFormat="false" ht="12.8" hidden="false" customHeight="false" outlineLevel="0" collapsed="false">
      <c r="K123" s="0" t="s">
        <v>134</v>
      </c>
      <c r="L123" s="0" t="n">
        <f aca="false">PI()*2</f>
        <v>6.28318530717959</v>
      </c>
    </row>
    <row r="124" customFormat="false" ht="12.8" hidden="false" customHeight="false" outlineLevel="0" collapsed="false">
      <c r="K124" s="0" t="s">
        <v>135</v>
      </c>
      <c r="L124" s="0" t="n">
        <f aca="false">ROUND(PI(),2)</f>
        <v>3.14</v>
      </c>
    </row>
    <row r="125" customFormat="false" ht="12.8" hidden="false" customHeight="false" outlineLevel="0" collapsed="false">
      <c r="K125" s="0" t="s">
        <v>136</v>
      </c>
      <c r="L125" s="0" t="e">
        <f aca="false">PI()+H1</f>
        <v>#DIV/0!</v>
      </c>
    </row>
    <row r="126" customFormat="false" ht="12.8" hidden="false" customHeight="false" outlineLevel="0" collapsed="false">
      <c r="K126" s="0" t="s">
        <v>137</v>
      </c>
      <c r="L126" s="0" t="n">
        <f aca="false">PI()/PI()</f>
        <v>1</v>
      </c>
    </row>
    <row r="127" customFormat="false" ht="12.8" hidden="false" customHeight="false" outlineLevel="0" collapsed="false">
      <c r="K127" s="0" t="s">
        <v>138</v>
      </c>
      <c r="L127" s="0" t="n">
        <f aca="false">C1*PI()</f>
        <v>32.9867228626928</v>
      </c>
    </row>
    <row r="128" customFormat="false" ht="12.8" hidden="false" customHeight="false" outlineLevel="0" collapsed="false">
      <c r="K128" s="0" t="s">
        <v>139</v>
      </c>
      <c r="L128" s="0" t="n">
        <f aca="false">PRODUCT(1,2,3,4)</f>
        <v>24</v>
      </c>
    </row>
    <row r="129" customFormat="false" ht="12.8" hidden="false" customHeight="false" outlineLevel="0" collapsed="false">
      <c r="K129" s="0" t="s">
        <v>140</v>
      </c>
      <c r="L129" s="0" t="n">
        <f aca="false">PRODUCT(A1:A6)</f>
        <v>720</v>
      </c>
    </row>
    <row r="130" customFormat="false" ht="12.8" hidden="false" customHeight="false" outlineLevel="0" collapsed="false">
      <c r="K130" s="0" t="s">
        <v>141</v>
      </c>
      <c r="L130" s="0" t="n">
        <f aca="false">PRODUCT(B1:B3)</f>
        <v>0</v>
      </c>
    </row>
    <row r="131" customFormat="false" ht="12.8" hidden="false" customHeight="false" outlineLevel="0" collapsed="false">
      <c r="K131" s="0" t="s">
        <v>142</v>
      </c>
      <c r="L131" s="0" t="e">
        <f aca="false">PRODUCT(A1:A3,H1)</f>
        <v>#DIV/0!</v>
      </c>
    </row>
    <row r="132" customFormat="false" ht="12.8" hidden="false" customHeight="false" outlineLevel="0" collapsed="false">
      <c r="K132" s="0" t="s">
        <v>143</v>
      </c>
      <c r="L132" s="0" t="n">
        <f aca="false">PRODUCT(C1:C3)</f>
        <v>0</v>
      </c>
    </row>
    <row r="133" customFormat="false" ht="12.8" hidden="false" customHeight="false" outlineLevel="0" collapsed="false">
      <c r="K133" s="0" t="s">
        <v>144</v>
      </c>
      <c r="L133" s="0" t="n">
        <f aca="false">PRODUCT(D4)</f>
        <v>0</v>
      </c>
    </row>
    <row r="134" customFormat="false" ht="12.8" hidden="false" customHeight="false" outlineLevel="0" collapsed="false">
      <c r="K134" s="0" t="s">
        <v>145</v>
      </c>
      <c r="L134" s="0" t="e">
        <f aca="false">PRODUCT("2",3)</f>
        <v>#VALUE!</v>
      </c>
    </row>
    <row r="135" customFormat="false" ht="12.8" hidden="false" customHeight="false" outlineLevel="0" collapsed="false">
      <c r="K135" s="0" t="s">
        <v>146</v>
      </c>
      <c r="L135" s="0" t="n">
        <f aca="false">PRODUCT(A1:A2,D1:D2)</f>
        <v>0</v>
      </c>
    </row>
    <row r="136" customFormat="false" ht="12.8" hidden="false" customHeight="false" outlineLevel="0" collapsed="false">
      <c r="K136" s="0" t="s">
        <v>147</v>
      </c>
      <c r="L136" s="0" t="n">
        <f aca="false">PRODUCT(C2,C2)</f>
        <v>4</v>
      </c>
    </row>
    <row r="137" customFormat="false" ht="12.8" hidden="false" customHeight="false" outlineLevel="0" collapsed="false">
      <c r="K137" s="0" t="s">
        <v>148</v>
      </c>
      <c r="L137" s="0" t="n">
        <f aca="false">SUMIF(A1:A6,"&gt;3")</f>
        <v>15</v>
      </c>
    </row>
    <row r="138" customFormat="false" ht="12.8" hidden="false" customHeight="false" outlineLevel="0" collapsed="false">
      <c r="K138" s="0" t="s">
        <v>149</v>
      </c>
      <c r="L138" s="0" t="n">
        <f aca="false">SUMIF(B1:B6,"apple",A1:A6)</f>
        <v>1</v>
      </c>
    </row>
    <row r="139" customFormat="false" ht="12.8" hidden="false" customHeight="false" outlineLevel="0" collapsed="false">
      <c r="K139" s="0" t="s">
        <v>150</v>
      </c>
      <c r="L139" s="0" t="n">
        <f aca="false">SUMIF(C1:C6,"&lt;0")</f>
        <v>-2</v>
      </c>
    </row>
    <row r="140" customFormat="false" ht="12.8" hidden="false" customHeight="false" outlineLevel="0" collapsed="false">
      <c r="K140" s="0" t="s">
        <v>151</v>
      </c>
      <c r="L140" s="0" t="n">
        <f aca="false">SUMIF(B1:B6,"*e*",A1:A6)</f>
        <v>13</v>
      </c>
    </row>
    <row r="141" customFormat="false" ht="12.8" hidden="false" customHeight="false" outlineLevel="0" collapsed="false">
      <c r="K141" s="0" t="s">
        <v>152</v>
      </c>
      <c r="L141" s="0" t="n">
        <f aca="false">SUMIF(A1:A6,"&gt;="&amp;A3)</f>
        <v>18</v>
      </c>
    </row>
    <row r="142" customFormat="false" ht="12.8" hidden="false" customHeight="false" outlineLevel="0" collapsed="false">
      <c r="K142" s="0" t="s">
        <v>153</v>
      </c>
      <c r="L142" s="0" t="n">
        <f aca="false">SUMIF(B1:B6,"zzz",A1:A6)</f>
        <v>0</v>
      </c>
    </row>
    <row r="143" customFormat="false" ht="12.8" hidden="false" customHeight="false" outlineLevel="0" collapsed="false">
      <c r="K143" s="0" t="s">
        <v>154</v>
      </c>
      <c r="L143" s="0" t="e">
        <f aca="false">SUMIF(A1:A6,"&lt;&gt;"&amp;H1)</f>
        <v>#DIV/0!</v>
      </c>
    </row>
    <row r="144" customFormat="false" ht="12.8" hidden="false" customHeight="false" outlineLevel="0" collapsed="false">
      <c r="K144" s="0" t="s">
        <v>155</v>
      </c>
      <c r="L144" s="0" t="n">
        <f aca="false">SUMIF(H1:H2,"&gt;0")</f>
        <v>0</v>
      </c>
    </row>
    <row r="145" customFormat="false" ht="12.8" hidden="false" customHeight="false" outlineLevel="0" collapsed="false">
      <c r="K145" s="0" t="s">
        <v>156</v>
      </c>
      <c r="L145" s="0" t="n">
        <f aca="false">SUMIF(D1:D6,TRUE(),A1:A6)</f>
        <v>1</v>
      </c>
    </row>
    <row r="146" customFormat="false" ht="12.8" hidden="false" customHeight="false" outlineLevel="0" collapsed="false">
      <c r="K146" s="0" t="s">
        <v>157</v>
      </c>
      <c r="L146" s="0" t="n">
        <f aca="false">SUMIF(A1:A6,"&gt;2",C1:C6)</f>
        <v>1000103.25</v>
      </c>
    </row>
    <row r="147" customFormat="false" ht="12.8" hidden="false" customHeight="false" outlineLevel="0" collapsed="false">
      <c r="K147" s="0" t="s">
        <v>158</v>
      </c>
      <c r="L147" s="0" t="n">
        <f aca="false">SUMIF(B1:B6,"APPLE",A1:A6)</f>
        <v>1</v>
      </c>
    </row>
    <row r="148" customFormat="false" ht="12.8" hidden="false" customHeight="false" outlineLevel="0" collapsed="false">
      <c r="K148" s="0" t="s">
        <v>159</v>
      </c>
      <c r="L148" s="0" t="n">
        <f aca="false">SUMIF(A1:A6,3)</f>
        <v>3</v>
      </c>
    </row>
    <row r="149" customFormat="false" ht="12.8" hidden="false" customHeight="false" outlineLevel="0" collapsed="false">
      <c r="K149" s="0" t="s">
        <v>160</v>
      </c>
      <c r="L149" s="0" t="n">
        <f aca="false">COUNTIF(A1:A6,"&gt;3")</f>
        <v>3</v>
      </c>
    </row>
    <row r="150" customFormat="false" ht="12.8" hidden="false" customHeight="false" outlineLevel="0" collapsed="false">
      <c r="K150" s="0" t="s">
        <v>161</v>
      </c>
      <c r="L150" s="0" t="n">
        <f aca="false">COUNTIF(B1:B6,"a*")</f>
        <v>1</v>
      </c>
    </row>
    <row r="151" customFormat="false" ht="12.8" hidden="false" customHeight="false" outlineLevel="0" collapsed="false">
      <c r="K151" s="0" t="s">
        <v>162</v>
      </c>
      <c r="L151" s="0" t="n">
        <f aca="false">COUNTIF(B1:B6,"?????")</f>
        <v>1</v>
      </c>
    </row>
    <row r="152" customFormat="false" ht="12.8" hidden="false" customHeight="false" outlineLevel="0" collapsed="false">
      <c r="K152" s="0" t="s">
        <v>163</v>
      </c>
      <c r="L152" s="0" t="n">
        <f aca="false">COUNTIF(A1:A6,3)</f>
        <v>1</v>
      </c>
    </row>
    <row r="153" customFormat="false" ht="12.8" hidden="false" customHeight="false" outlineLevel="0" collapsed="false">
      <c r="K153" s="0" t="s">
        <v>164</v>
      </c>
      <c r="L153" s="0" t="n">
        <f aca="false">COUNTIF(D1:D6,"")</f>
        <v>2</v>
      </c>
    </row>
    <row r="154" customFormat="false" ht="12.8" hidden="false" customHeight="false" outlineLevel="0" collapsed="false">
      <c r="K154" s="0" t="s">
        <v>165</v>
      </c>
      <c r="L154" s="0" t="n">
        <f aca="false">COUNTIF(B1:B6,"APPLE")</f>
        <v>1</v>
      </c>
    </row>
    <row r="155" customFormat="false" ht="12.8" hidden="false" customHeight="false" outlineLevel="0" collapsed="false">
      <c r="K155" s="0" t="s">
        <v>166</v>
      </c>
      <c r="L155" s="0" t="e">
        <f aca="false">COUNTIF(A1:A6,"&lt;&gt;"&amp;H1)</f>
        <v>#DIV/0!</v>
      </c>
    </row>
    <row r="156" customFormat="false" ht="12.8" hidden="false" customHeight="false" outlineLevel="0" collapsed="false">
      <c r="K156" s="0" t="s">
        <v>167</v>
      </c>
      <c r="L156" s="0" t="n">
        <f aca="false">COUNTIF(D1:D6,TRUE())</f>
        <v>1</v>
      </c>
    </row>
    <row r="157" customFormat="false" ht="12.8" hidden="false" customHeight="false" outlineLevel="0" collapsed="false">
      <c r="K157" s="0" t="s">
        <v>168</v>
      </c>
      <c r="L157" s="0" t="n">
        <f aca="false">COUNTIF(D1:D6,42)</f>
        <v>0</v>
      </c>
    </row>
    <row r="158" customFormat="false" ht="12.8" hidden="false" customHeight="false" outlineLevel="0" collapsed="false">
      <c r="K158" s="0" t="s">
        <v>169</v>
      </c>
      <c r="L158" s="0" t="n">
        <f aca="false">COUNTIF(H1:H2,"#N/A")</f>
        <v>1</v>
      </c>
    </row>
    <row r="159" customFormat="false" ht="12.8" hidden="false" customHeight="false" outlineLevel="0" collapsed="false">
      <c r="K159" s="0" t="s">
        <v>170</v>
      </c>
      <c r="L159" s="0" t="n">
        <f aca="false">COUNTIF(C1:C6,"&lt;0")</f>
        <v>1</v>
      </c>
    </row>
    <row r="160" customFormat="false" ht="12.8" hidden="false" customHeight="false" outlineLevel="0" collapsed="false">
      <c r="K160" s="0" t="s">
        <v>171</v>
      </c>
      <c r="L160" s="0" t="n">
        <f aca="false">COUNTIF(A1:A6,"&gt;="&amp;A3)</f>
        <v>4</v>
      </c>
    </row>
    <row r="161" customFormat="false" ht="12.8" hidden="false" customHeight="false" outlineLevel="0" collapsed="false">
      <c r="K161" s="0" t="s">
        <v>172</v>
      </c>
      <c r="L161" s="0" t="n">
        <f aca="false">SUMPRODUCT(A1:A3,A1:A3)</f>
        <v>14</v>
      </c>
    </row>
    <row r="162" customFormat="false" ht="12.8" hidden="false" customHeight="false" outlineLevel="0" collapsed="false">
      <c r="K162" s="0" t="s">
        <v>173</v>
      </c>
      <c r="L162" s="0" t="n">
        <f aca="false">SUMPRODUCT(A1:A3,C1:C3)</f>
        <v>6.5</v>
      </c>
    </row>
    <row r="163" customFormat="false" ht="12.8" hidden="false" customHeight="false" outlineLevel="0" collapsed="false">
      <c r="K163" s="0" t="s">
        <v>174</v>
      </c>
      <c r="L163" s="0" t="n">
        <f aca="false">SUMPRODUCT(A1:A3,B1:B3)</f>
        <v>0</v>
      </c>
    </row>
    <row r="164" customFormat="false" ht="12.8" hidden="false" customHeight="false" outlineLevel="0" collapsed="false">
      <c r="K164" s="0" t="s">
        <v>175</v>
      </c>
      <c r="L164" s="0" t="e">
        <f aca="false">SUMPRODUCT(A1:A3,A1:A2)</f>
        <v>#VALUE!</v>
      </c>
    </row>
    <row r="165" customFormat="false" ht="12.8" hidden="false" customHeight="false" outlineLevel="0" collapsed="false">
      <c r="K165" s="0" t="s">
        <v>176</v>
      </c>
      <c r="L165" s="0" t="e">
        <f aca="false">SUMPRODUCT(A1:A3,H1:H3)</f>
        <v>#DIV/0!</v>
      </c>
    </row>
    <row r="166" customFormat="false" ht="12.8" hidden="false" customHeight="false" outlineLevel="0" collapsed="false">
      <c r="K166" s="0" t="s">
        <v>177</v>
      </c>
      <c r="L166" s="0" t="n">
        <f aca="false">SUMPRODUCT((A1:A6&gt;2)*(A1:A6&lt;5))</f>
        <v>2</v>
      </c>
    </row>
    <row r="167" customFormat="false" ht="12.8" hidden="false" customHeight="false" outlineLevel="0" collapsed="false">
      <c r="K167" s="0" t="s">
        <v>178</v>
      </c>
      <c r="L167" s="0" t="n">
        <f aca="false">SUMPRODUCT(A1:A6)</f>
        <v>21</v>
      </c>
    </row>
    <row r="168" customFormat="false" ht="12.8" hidden="false" customHeight="false" outlineLevel="0" collapsed="false">
      <c r="K168" s="0" t="s">
        <v>179</v>
      </c>
      <c r="L168" s="0" t="n">
        <f aca="false">SUMPRODUCT(A1:A2,D1:D2)</f>
        <v>1</v>
      </c>
    </row>
    <row r="169" customFormat="false" ht="12.8" hidden="false" customHeight="false" outlineLevel="0" collapsed="false">
      <c r="K169" s="0" t="s">
        <v>180</v>
      </c>
      <c r="L169" s="0" t="n">
        <f aca="false">SUMPRODUCT(A1:A3*2)</f>
        <v>12</v>
      </c>
    </row>
    <row r="170" customFormat="false" ht="12.8" hidden="false" customHeight="false" outlineLevel="0" collapsed="false">
      <c r="K170" s="0" t="s">
        <v>181</v>
      </c>
      <c r="L170" s="0" t="n">
        <f aca="false">CEILING(2.5,1)</f>
        <v>3</v>
      </c>
    </row>
    <row r="171" customFormat="false" ht="12.8" hidden="false" customHeight="false" outlineLevel="0" collapsed="false">
      <c r="K171" s="0" t="s">
        <v>182</v>
      </c>
      <c r="L171" s="0" t="n">
        <f aca="false">CEILING(-2.5,-1)</f>
        <v>-3</v>
      </c>
    </row>
    <row r="172" customFormat="false" ht="12.8" hidden="false" customHeight="false" outlineLevel="0" collapsed="false">
      <c r="K172" s="0" t="s">
        <v>183</v>
      </c>
      <c r="L172" s="0" t="n">
        <f aca="false">CEILING(-2.5,1)</f>
        <v>-2</v>
      </c>
    </row>
    <row r="173" customFormat="false" ht="12.8" hidden="false" customHeight="false" outlineLevel="0" collapsed="false">
      <c r="K173" s="0" t="s">
        <v>184</v>
      </c>
      <c r="L173" s="0" t="n">
        <f aca="false">CEILING(2.1,0)</f>
        <v>0</v>
      </c>
    </row>
    <row r="174" customFormat="false" ht="12.8" hidden="false" customHeight="false" outlineLevel="0" collapsed="false">
      <c r="K174" s="0" t="s">
        <v>185</v>
      </c>
      <c r="L174" s="0" t="n">
        <f aca="false">CEILING(C1,5)</f>
        <v>15</v>
      </c>
    </row>
    <row r="175" customFormat="false" ht="12.8" hidden="false" customHeight="false" outlineLevel="0" collapsed="false">
      <c r="K175" s="0" t="s">
        <v>186</v>
      </c>
      <c r="L175" s="0" t="e">
        <f aca="false">CEILING(H1,1)</f>
        <v>#DIV/0!</v>
      </c>
    </row>
    <row r="176" customFormat="false" ht="12.8" hidden="false" customHeight="false" outlineLevel="0" collapsed="false">
      <c r="K176" s="0" t="s">
        <v>187</v>
      </c>
      <c r="L176" s="0" t="e">
        <f aca="false">CEILING(2.5,-1)</f>
        <v>#VALUE!</v>
      </c>
    </row>
    <row r="177" customFormat="false" ht="12.8" hidden="false" customHeight="false" outlineLevel="0" collapsed="false">
      <c r="K177" s="0" t="s">
        <v>188</v>
      </c>
      <c r="L177" s="0" t="n">
        <f aca="false">CEILING(0,5)</f>
        <v>0</v>
      </c>
    </row>
    <row r="178" customFormat="false" ht="12.8" hidden="false" customHeight="false" outlineLevel="0" collapsed="false">
      <c r="K178" s="0" t="s">
        <v>189</v>
      </c>
      <c r="L178" s="0" t="n">
        <f aca="false">CEILING(1.234,0.01)</f>
        <v>1.24</v>
      </c>
    </row>
    <row r="179" customFormat="false" ht="12.8" hidden="false" customHeight="false" outlineLevel="0" collapsed="false">
      <c r="K179" s="0" t="s">
        <v>190</v>
      </c>
      <c r="L179" s="0" t="n">
        <f aca="false">CEILING(D4,3)</f>
        <v>0</v>
      </c>
    </row>
    <row r="180" customFormat="false" ht="12.8" hidden="false" customHeight="false" outlineLevel="0" collapsed="false">
      <c r="K180" s="0" t="s">
        <v>191</v>
      </c>
      <c r="L180" s="0" t="n">
        <f aca="false">IF(TRUE(),1,2)</f>
        <v>1</v>
      </c>
    </row>
    <row r="181" customFormat="false" ht="12.8" hidden="false" customHeight="false" outlineLevel="0" collapsed="false">
      <c r="K181" s="0" t="s">
        <v>192</v>
      </c>
      <c r="L181" s="0" t="n">
        <f aca="false">IF(FALSE(),1,2)</f>
        <v>2</v>
      </c>
    </row>
    <row r="182" customFormat="false" ht="12.8" hidden="false" customHeight="false" outlineLevel="0" collapsed="false">
      <c r="K182" s="0" t="s">
        <v>193</v>
      </c>
      <c r="L182" s="0" t="str">
        <f aca="false">IF(0,"y","n")</f>
        <v>n</v>
      </c>
    </row>
    <row r="183" customFormat="false" ht="12.8" hidden="false" customHeight="false" outlineLevel="0" collapsed="false">
      <c r="K183" s="0" t="s">
        <v>194</v>
      </c>
      <c r="L183" s="0" t="str">
        <f aca="false">IF(A1&gt;0,"pos","neg")</f>
        <v>pos</v>
      </c>
    </row>
    <row r="184" customFormat="false" ht="12.8" hidden="false" customHeight="false" outlineLevel="0" collapsed="false">
      <c r="K184" s="0" t="s">
        <v>195</v>
      </c>
      <c r="L184" s="0" t="str">
        <f aca="false">IF(D4,"y","n")</f>
        <v>n</v>
      </c>
    </row>
    <row r="185" customFormat="false" ht="12.8" hidden="false" customHeight="false" outlineLevel="0" collapsed="false">
      <c r="K185" s="0" t="s">
        <v>196</v>
      </c>
      <c r="L185" s="0" t="n">
        <f aca="false">IF("TRUE",1,2)</f>
        <v>1</v>
      </c>
    </row>
    <row r="186" customFormat="false" ht="12.8" hidden="false" customHeight="false" outlineLevel="0" collapsed="false">
      <c r="K186" s="0" t="s">
        <v>197</v>
      </c>
      <c r="L186" s="0" t="e">
        <f aca="false">IF(H1,1,2)</f>
        <v>#DIV/0!</v>
      </c>
    </row>
    <row r="187" customFormat="false" ht="12.8" hidden="false" customHeight="false" outlineLevel="0" collapsed="false">
      <c r="K187" s="0" t="s">
        <v>198</v>
      </c>
      <c r="L187" s="1" t="b">
        <f aca="false">IF(FALSE(),1)</f>
        <v>0</v>
      </c>
    </row>
    <row r="188" customFormat="false" ht="12.8" hidden="false" customHeight="false" outlineLevel="0" collapsed="false">
      <c r="K188" s="0" t="s">
        <v>199</v>
      </c>
      <c r="L188" s="0" t="n">
        <f aca="false">IF(TRUE(),1,1/0)</f>
        <v>1</v>
      </c>
    </row>
    <row r="189" customFormat="false" ht="12.8" hidden="false" customHeight="false" outlineLevel="0" collapsed="false">
      <c r="K189" s="0" t="s">
        <v>200</v>
      </c>
      <c r="L189" s="0" t="n">
        <f aca="false">IF(FALSE(),1/0,2)</f>
        <v>2</v>
      </c>
    </row>
    <row r="190" customFormat="false" ht="12.8" hidden="false" customHeight="false" outlineLevel="0" collapsed="false">
      <c r="K190" s="0" t="s">
        <v>201</v>
      </c>
      <c r="L190" s="0" t="e">
        <f aca="false">IF(B1,1,2)</f>
        <v>#VALUE!</v>
      </c>
    </row>
    <row r="191" customFormat="false" ht="12.8" hidden="false" customHeight="false" outlineLevel="0" collapsed="false">
      <c r="K191" s="0" t="s">
        <v>202</v>
      </c>
      <c r="L191" s="0" t="str">
        <f aca="false">IF(C3,"y","n")</f>
        <v>n</v>
      </c>
    </row>
    <row r="192" customFormat="false" ht="12.8" hidden="false" customHeight="false" outlineLevel="0" collapsed="false">
      <c r="K192" s="0" t="s">
        <v>203</v>
      </c>
      <c r="L192" s="0" t="str">
        <f aca="false">IF(A2,"y","n")</f>
        <v>y</v>
      </c>
    </row>
    <row r="193" customFormat="false" ht="12.8" hidden="false" customHeight="false" outlineLevel="0" collapsed="false">
      <c r="K193" s="0" t="s">
        <v>204</v>
      </c>
      <c r="L193" s="1" t="b">
        <f aca="false">IF(1&gt;2,"a")</f>
        <v>0</v>
      </c>
    </row>
    <row r="194" customFormat="false" ht="12.8" hidden="false" customHeight="false" outlineLevel="0" collapsed="false">
      <c r="K194" s="0" t="s">
        <v>205</v>
      </c>
      <c r="L194" s="0" t="str">
        <f aca="false">IF(D3="","empty","filled")</f>
        <v>empty</v>
      </c>
    </row>
    <row r="195" customFormat="false" ht="12.8" hidden="false" customHeight="false" outlineLevel="0" collapsed="false">
      <c r="K195" s="0" t="s">
        <v>206</v>
      </c>
      <c r="L195" s="0" t="str">
        <f aca="false">IF(D1,"yes","no")</f>
        <v>yes</v>
      </c>
    </row>
    <row r="196" customFormat="false" ht="12.8" hidden="false" customHeight="false" outlineLevel="0" collapsed="false">
      <c r="K196" s="0" t="s">
        <v>207</v>
      </c>
      <c r="L196" s="1" t="b">
        <f aca="false">AND(TRUE(),TRUE())</f>
        <v>1</v>
      </c>
    </row>
    <row r="197" customFormat="false" ht="12.8" hidden="false" customHeight="false" outlineLevel="0" collapsed="false">
      <c r="K197" s="0" t="s">
        <v>208</v>
      </c>
      <c r="L197" s="1" t="b">
        <f aca="false">AND(TRUE(),FALSE())</f>
        <v>0</v>
      </c>
    </row>
    <row r="198" customFormat="false" ht="12.8" hidden="false" customHeight="false" outlineLevel="0" collapsed="false">
      <c r="K198" s="0" t="s">
        <v>209</v>
      </c>
      <c r="L198" s="1" t="b">
        <f aca="false">AND(1,2)</f>
        <v>1</v>
      </c>
    </row>
    <row r="199" customFormat="false" ht="12.8" hidden="false" customHeight="false" outlineLevel="0" collapsed="false">
      <c r="K199" s="0" t="s">
        <v>210</v>
      </c>
      <c r="L199" s="1" t="b">
        <f aca="false">AND(A1:A3)</f>
        <v>1</v>
      </c>
    </row>
    <row r="200" customFormat="false" ht="12.8" hidden="false" customHeight="false" outlineLevel="0" collapsed="false">
      <c r="K200" s="0" t="s">
        <v>211</v>
      </c>
      <c r="L200" s="1" t="b">
        <f aca="false">AND(C1:C3)</f>
        <v>0</v>
      </c>
    </row>
    <row r="201" customFormat="false" ht="12.8" hidden="false" customHeight="false" outlineLevel="0" collapsed="false">
      <c r="K201" s="0" t="s">
        <v>212</v>
      </c>
      <c r="L201" s="1" t="b">
        <f aca="false">AND(D1:D2)</f>
        <v>0</v>
      </c>
    </row>
    <row r="202" customFormat="false" ht="12.8" hidden="false" customHeight="false" outlineLevel="0" collapsed="false">
      <c r="K202" s="0" t="s">
        <v>213</v>
      </c>
      <c r="L202" s="1" t="e">
        <f aca="false">AND(B1:B2)</f>
        <v>#VALUE!</v>
      </c>
    </row>
    <row r="203" customFormat="false" ht="12.8" hidden="false" customHeight="false" outlineLevel="0" collapsed="false">
      <c r="K203" s="0" t="s">
        <v>214</v>
      </c>
      <c r="L203" s="1" t="e">
        <f aca="false">AND(D4)</f>
        <v>#VALUE!</v>
      </c>
    </row>
    <row r="204" customFormat="false" ht="12.8" hidden="false" customHeight="false" outlineLevel="0" collapsed="false">
      <c r="K204" s="0" t="s">
        <v>215</v>
      </c>
      <c r="L204" s="1" t="e">
        <f aca="false">AND(TRUE(),H1)</f>
        <v>#DIV/0!</v>
      </c>
    </row>
    <row r="205" customFormat="false" ht="12.8" hidden="false" customHeight="false" outlineLevel="0" collapsed="false">
      <c r="K205" s="0" t="s">
        <v>216</v>
      </c>
      <c r="L205" s="1" t="e">
        <f aca="false">AND(FALSE(),H1)</f>
        <v>#DIV/0!</v>
      </c>
    </row>
    <row r="206" customFormat="false" ht="12.8" hidden="false" customHeight="false" outlineLevel="0" collapsed="false">
      <c r="K206" s="0" t="s">
        <v>217</v>
      </c>
      <c r="L206" s="1" t="b">
        <f aca="false">AND(D1,D5)</f>
        <v>1</v>
      </c>
    </row>
    <row r="207" customFormat="false" ht="12.8" hidden="false" customHeight="false" outlineLevel="0" collapsed="false">
      <c r="K207" s="0" t="s">
        <v>218</v>
      </c>
      <c r="L207" s="1" t="b">
        <f aca="false">AND(A1&gt;0,C1&gt;0,B1="apple")</f>
        <v>1</v>
      </c>
    </row>
    <row r="208" customFormat="false" ht="12.8" hidden="false" customHeight="false" outlineLevel="0" collapsed="false">
      <c r="K208" s="0" t="s">
        <v>219</v>
      </c>
      <c r="L208" s="1" t="b">
        <f aca="false">OR(FALSE(),FALSE())</f>
        <v>0</v>
      </c>
    </row>
    <row r="209" customFormat="false" ht="12.8" hidden="false" customHeight="false" outlineLevel="0" collapsed="false">
      <c r="K209" s="0" t="s">
        <v>220</v>
      </c>
      <c r="L209" s="1" t="b">
        <f aca="false">OR(FALSE(),TRUE())</f>
        <v>1</v>
      </c>
    </row>
    <row r="210" customFormat="false" ht="12.8" hidden="false" customHeight="false" outlineLevel="0" collapsed="false">
      <c r="K210" s="0" t="s">
        <v>221</v>
      </c>
      <c r="L210" s="1" t="b">
        <f aca="false">OR(0,0)</f>
        <v>0</v>
      </c>
    </row>
    <row r="211" customFormat="false" ht="12.8" hidden="false" customHeight="false" outlineLevel="0" collapsed="false">
      <c r="K211" s="0" t="s">
        <v>222</v>
      </c>
      <c r="L211" s="1" t="b">
        <f aca="false">OR(C1:C3)</f>
        <v>1</v>
      </c>
    </row>
    <row r="212" customFormat="false" ht="12.8" hidden="false" customHeight="false" outlineLevel="0" collapsed="false">
      <c r="K212" s="0" t="s">
        <v>223</v>
      </c>
      <c r="L212" s="1" t="b">
        <f aca="false">OR(D2,D3)</f>
        <v>0</v>
      </c>
    </row>
    <row r="213" customFormat="false" ht="12.8" hidden="false" customHeight="false" outlineLevel="0" collapsed="false">
      <c r="K213" s="0" t="s">
        <v>224</v>
      </c>
      <c r="L213" s="1" t="e">
        <f aca="false">OR(B1:B2)</f>
        <v>#VALUE!</v>
      </c>
    </row>
    <row r="214" customFormat="false" ht="12.8" hidden="false" customHeight="false" outlineLevel="0" collapsed="false">
      <c r="K214" s="0" t="s">
        <v>225</v>
      </c>
      <c r="L214" s="1" t="e">
        <f aca="false">OR(H1,TRUE())</f>
        <v>#DIV/0!</v>
      </c>
    </row>
    <row r="215" customFormat="false" ht="12.8" hidden="false" customHeight="false" outlineLevel="0" collapsed="false">
      <c r="K215" s="0" t="s">
        <v>226</v>
      </c>
      <c r="L215" s="1" t="b">
        <f aca="false">OR(D4,FALSE())</f>
        <v>0</v>
      </c>
    </row>
    <row r="216" customFormat="false" ht="12.8" hidden="false" customHeight="false" outlineLevel="0" collapsed="false">
      <c r="K216" s="0" t="s">
        <v>227</v>
      </c>
      <c r="L216" s="1" t="b">
        <f aca="false">OR(A1&lt;0,C2&lt;0)</f>
        <v>1</v>
      </c>
    </row>
    <row r="217" customFormat="false" ht="12.8" hidden="false" customHeight="false" outlineLevel="0" collapsed="false">
      <c r="K217" s="0" t="s">
        <v>228</v>
      </c>
      <c r="L217" s="1" t="b">
        <f aca="false">NOT(TRUE())</f>
        <v>0</v>
      </c>
    </row>
    <row r="218" customFormat="false" ht="12.8" hidden="false" customHeight="false" outlineLevel="0" collapsed="false">
      <c r="K218" s="0" t="s">
        <v>229</v>
      </c>
      <c r="L218" s="1" t="b">
        <f aca="false">NOT(0)</f>
        <v>1</v>
      </c>
    </row>
    <row r="219" customFormat="false" ht="12.8" hidden="false" customHeight="false" outlineLevel="0" collapsed="false">
      <c r="K219" s="0" t="s">
        <v>230</v>
      </c>
      <c r="L219" s="1" t="b">
        <f aca="false">NOT(D4)</f>
        <v>1</v>
      </c>
    </row>
    <row r="220" customFormat="false" ht="12.8" hidden="false" customHeight="false" outlineLevel="0" collapsed="false">
      <c r="K220" s="0" t="s">
        <v>231</v>
      </c>
      <c r="L220" s="1" t="b">
        <f aca="false">NOT(A1)</f>
        <v>0</v>
      </c>
    </row>
    <row r="221" customFormat="false" ht="12.8" hidden="false" customHeight="false" outlineLevel="0" collapsed="false">
      <c r="K221" s="0" t="s">
        <v>232</v>
      </c>
      <c r="L221" s="1" t="e">
        <f aca="false">NOT(H1)</f>
        <v>#DIV/0!</v>
      </c>
    </row>
    <row r="222" customFormat="false" ht="12.8" hidden="false" customHeight="false" outlineLevel="0" collapsed="false">
      <c r="K222" s="0" t="s">
        <v>233</v>
      </c>
      <c r="L222" s="1" t="e">
        <f aca="false">NOT(B1)</f>
        <v>#VALUE!</v>
      </c>
    </row>
    <row r="223" customFormat="false" ht="12.8" hidden="false" customHeight="false" outlineLevel="0" collapsed="false">
      <c r="K223" s="0" t="s">
        <v>234</v>
      </c>
      <c r="L223" s="1" t="e">
        <f aca="false">NOT("abc")</f>
        <v>#VALUE!</v>
      </c>
    </row>
    <row r="224" customFormat="false" ht="12.8" hidden="false" customHeight="false" outlineLevel="0" collapsed="false">
      <c r="K224" s="0" t="s">
        <v>235</v>
      </c>
      <c r="L224" s="1" t="b">
        <f aca="false">NOT(D2)</f>
        <v>1</v>
      </c>
    </row>
    <row r="225" customFormat="false" ht="12.8" hidden="false" customHeight="false" outlineLevel="0" collapsed="false">
      <c r="K225" s="0" t="s">
        <v>236</v>
      </c>
      <c r="L225" s="1" t="b">
        <f aca="false">NOT(A1&gt;2)</f>
        <v>1</v>
      </c>
    </row>
    <row r="226" customFormat="false" ht="12.8" hidden="false" customHeight="false" outlineLevel="0" collapsed="false">
      <c r="K226" s="0" t="s">
        <v>237</v>
      </c>
      <c r="L226" s="0" t="str">
        <f aca="false">IFERROR(1/0,"err")</f>
        <v>err</v>
      </c>
    </row>
    <row r="227" customFormat="false" ht="12.8" hidden="false" customHeight="false" outlineLevel="0" collapsed="false">
      <c r="K227" s="0" t="s">
        <v>238</v>
      </c>
      <c r="L227" s="0" t="n">
        <f aca="false">IFERROR(5,"err")</f>
        <v>5</v>
      </c>
    </row>
    <row r="228" customFormat="false" ht="12.8" hidden="false" customHeight="false" outlineLevel="0" collapsed="false">
      <c r="K228" s="0" t="s">
        <v>239</v>
      </c>
      <c r="L228" s="0" t="n">
        <f aca="false">IFERROR(H1,0)</f>
        <v>0</v>
      </c>
    </row>
    <row r="229" customFormat="false" ht="12.8" hidden="false" customHeight="false" outlineLevel="0" collapsed="false">
      <c r="K229" s="0" t="s">
        <v>240</v>
      </c>
      <c r="L229" s="0" t="str">
        <f aca="false">IFERROR(H2,"na")</f>
        <v>na</v>
      </c>
    </row>
    <row r="230" customFormat="false" ht="12.8" hidden="false" customHeight="false" outlineLevel="0" collapsed="false">
      <c r="K230" s="0" t="s">
        <v>241</v>
      </c>
      <c r="L230" s="0" t="n">
        <f aca="false">IFERROR(A1,0)</f>
        <v>1</v>
      </c>
    </row>
    <row r="231" customFormat="false" ht="12.8" hidden="false" customHeight="false" outlineLevel="0" collapsed="false">
      <c r="K231" s="0" t="s">
        <v>242</v>
      </c>
      <c r="L231" s="0" t="n">
        <f aca="false">IFERROR(D4,"x")</f>
        <v>0</v>
      </c>
    </row>
    <row r="232" customFormat="false" ht="12.8" hidden="false" customHeight="false" outlineLevel="0" collapsed="false">
      <c r="K232" s="0" t="s">
        <v>243</v>
      </c>
      <c r="L232" s="0" t="str">
        <f aca="false">IFERROR(VLOOKUP(999,F1:G4,2,FALSE()),"missing")</f>
        <v>missing</v>
      </c>
    </row>
    <row r="233" customFormat="false" ht="12.8" hidden="false" customHeight="false" outlineLevel="0" collapsed="false">
      <c r="K233" s="0" t="s">
        <v>244</v>
      </c>
      <c r="L233" s="0" t="n">
        <f aca="false">IFERROR(SQRT(-1),-1)</f>
        <v>-1</v>
      </c>
    </row>
    <row r="234" customFormat="false" ht="12.8" hidden="false" customHeight="false" outlineLevel="0" collapsed="false">
      <c r="K234" s="0" t="s">
        <v>245</v>
      </c>
      <c r="L234" s="0" t="e">
        <f aca="false">IFERROR(1/0,1/0)</f>
        <v>#DIV/0!</v>
      </c>
    </row>
    <row r="235" customFormat="false" ht="12.8" hidden="false" customHeight="false" outlineLevel="0" collapsed="false">
      <c r="K235" s="0" t="s">
        <v>246</v>
      </c>
      <c r="L235" s="0" t="str">
        <f aca="false">IFERROR(B1,"x")</f>
        <v>apple</v>
      </c>
    </row>
    <row r="236" customFormat="false" ht="12.8" hidden="false" customHeight="false" outlineLevel="0" collapsed="false">
      <c r="K236" s="0" t="s">
        <v>247</v>
      </c>
      <c r="L236" s="0" t="str">
        <f aca="false">IFERROR(unknownfn(1),"x")</f>
        <v>x</v>
      </c>
    </row>
    <row r="237" customFormat="false" ht="12.8" hidden="false" customHeight="false" outlineLevel="0" collapsed="false">
      <c r="K237" s="0" t="s">
        <v>248</v>
      </c>
      <c r="L237" s="1" t="b">
        <f aca="false">TRUE()</f>
        <v>1</v>
      </c>
    </row>
    <row r="238" customFormat="false" ht="12.8" hidden="false" customHeight="false" outlineLevel="0" collapsed="false">
      <c r="K238" s="0" t="s">
        <v>249</v>
      </c>
      <c r="L238" s="0" t="n">
        <f aca="false">TRUE()+1</f>
        <v>2</v>
      </c>
    </row>
    <row r="239" customFormat="false" ht="12.8" hidden="false" customHeight="false" outlineLevel="0" collapsed="false">
      <c r="K239" s="0" t="s">
        <v>250</v>
      </c>
      <c r="L239" s="1" t="b">
        <f aca="false">AND(TRUE(),TRUE())</f>
        <v>1</v>
      </c>
    </row>
    <row r="240" customFormat="false" ht="12.8" hidden="false" customHeight="false" outlineLevel="0" collapsed="false">
      <c r="K240" s="0" t="s">
        <v>251</v>
      </c>
      <c r="L240" s="0" t="str">
        <f aca="false">IF(TRUE(),"y","n")</f>
        <v>y</v>
      </c>
    </row>
    <row r="241" customFormat="false" ht="12.8" hidden="false" customHeight="false" outlineLevel="0" collapsed="false">
      <c r="K241" s="0" t="s">
        <v>252</v>
      </c>
      <c r="L241" s="1" t="b">
        <f aca="false">NOT(TRUE())</f>
        <v>0</v>
      </c>
    </row>
    <row r="242" customFormat="false" ht="12.8" hidden="false" customHeight="false" outlineLevel="0" collapsed="false">
      <c r="K242" s="0" t="s">
        <v>253</v>
      </c>
      <c r="L242" s="0" t="str">
        <f aca="false">TRUE()&amp;""</f>
        <v>1</v>
      </c>
    </row>
    <row r="243" customFormat="false" ht="12.8" hidden="false" customHeight="false" outlineLevel="0" collapsed="false">
      <c r="K243" s="0" t="s">
        <v>254</v>
      </c>
      <c r="L243" s="0" t="e">
        <f aca="false">TRUE()+H1</f>
        <v>#DIV/0!</v>
      </c>
    </row>
    <row r="244" customFormat="false" ht="12.8" hidden="false" customHeight="false" outlineLevel="0" collapsed="false">
      <c r="K244" s="0" t="s">
        <v>255</v>
      </c>
      <c r="L244" s="0" t="n">
        <f aca="false">SUM(TRUE(),TRUE())</f>
        <v>2</v>
      </c>
    </row>
    <row r="245" customFormat="false" ht="12.8" hidden="false" customHeight="false" outlineLevel="0" collapsed="false">
      <c r="K245" s="0" t="s">
        <v>256</v>
      </c>
      <c r="L245" s="1" t="b">
        <f aca="false">FALSE()</f>
        <v>0</v>
      </c>
    </row>
    <row r="246" customFormat="false" ht="12.8" hidden="false" customHeight="false" outlineLevel="0" collapsed="false">
      <c r="K246" s="0" t="s">
        <v>257</v>
      </c>
      <c r="L246" s="0" t="n">
        <f aca="false">FALSE()+1</f>
        <v>1</v>
      </c>
    </row>
    <row r="247" customFormat="false" ht="12.8" hidden="false" customHeight="false" outlineLevel="0" collapsed="false">
      <c r="K247" s="0" t="s">
        <v>258</v>
      </c>
      <c r="L247" s="1" t="b">
        <f aca="false">OR(FALSE(),FALSE())</f>
        <v>0</v>
      </c>
    </row>
    <row r="248" customFormat="false" ht="12.8" hidden="false" customHeight="false" outlineLevel="0" collapsed="false">
      <c r="K248" s="0" t="s">
        <v>259</v>
      </c>
      <c r="L248" s="0" t="str">
        <f aca="false">IF(FALSE(),"y","n")</f>
        <v>n</v>
      </c>
    </row>
    <row r="249" customFormat="false" ht="12.8" hidden="false" customHeight="false" outlineLevel="0" collapsed="false">
      <c r="K249" s="0" t="s">
        <v>260</v>
      </c>
      <c r="L249" s="1" t="b">
        <f aca="false">NOT(FALSE())</f>
        <v>1</v>
      </c>
    </row>
    <row r="250" customFormat="false" ht="12.8" hidden="false" customHeight="false" outlineLevel="0" collapsed="false">
      <c r="K250" s="0" t="s">
        <v>261</v>
      </c>
      <c r="L250" s="0" t="str">
        <f aca="false">FALSE()&amp;""</f>
        <v>0</v>
      </c>
    </row>
    <row r="251" customFormat="false" ht="12.8" hidden="false" customHeight="false" outlineLevel="0" collapsed="false">
      <c r="K251" s="0" t="s">
        <v>262</v>
      </c>
      <c r="L251" s="1" t="b">
        <f aca="false">FALSE()=D2</f>
        <v>1</v>
      </c>
    </row>
    <row r="252" customFormat="false" ht="12.8" hidden="false" customHeight="false" outlineLevel="0" collapsed="false">
      <c r="K252" s="0" t="s">
        <v>263</v>
      </c>
      <c r="L252" s="0" t="e">
        <f aca="false">FALSE()*H1</f>
        <v>#DIV/0!</v>
      </c>
    </row>
    <row r="253" customFormat="false" ht="12.8" hidden="false" customHeight="false" outlineLevel="0" collapsed="false">
      <c r="K253" s="0" t="s">
        <v>264</v>
      </c>
      <c r="L253" s="1" t="b">
        <f aca="false">ISBLANK(D4)</f>
        <v>1</v>
      </c>
    </row>
    <row r="254" customFormat="false" ht="12.8" hidden="false" customHeight="false" outlineLevel="0" collapsed="false">
      <c r="K254" s="0" t="s">
        <v>265</v>
      </c>
      <c r="L254" s="1" t="b">
        <f aca="false">ISBLANK(D3)</f>
        <v>0</v>
      </c>
    </row>
    <row r="255" customFormat="false" ht="12.8" hidden="false" customHeight="false" outlineLevel="0" collapsed="false">
      <c r="K255" s="0" t="s">
        <v>266</v>
      </c>
      <c r="L255" s="1" t="b">
        <f aca="false">ISBLANK(A1)</f>
        <v>0</v>
      </c>
    </row>
    <row r="256" customFormat="false" ht="12.8" hidden="false" customHeight="false" outlineLevel="0" collapsed="false">
      <c r="K256" s="0" t="s">
        <v>267</v>
      </c>
      <c r="L256" s="1" t="b">
        <f aca="false">ISBLANK(Z99)</f>
        <v>1</v>
      </c>
    </row>
    <row r="257" customFormat="false" ht="12.8" hidden="false" customHeight="false" outlineLevel="0" collapsed="false">
      <c r="K257" s="0" t="s">
        <v>268</v>
      </c>
      <c r="L257" s="1" t="b">
        <f aca="false">ISBLANK(H1)</f>
        <v>0</v>
      </c>
    </row>
    <row r="258" customFormat="false" ht="12.8" hidden="false" customHeight="false" outlineLevel="0" collapsed="false">
      <c r="K258" s="0" t="s">
        <v>269</v>
      </c>
      <c r="L258" s="1" t="b">
        <f aca="false">ISBLANK("")</f>
        <v>0</v>
      </c>
    </row>
    <row r="259" customFormat="false" ht="12.8" hidden="false" customHeight="false" outlineLevel="0" collapsed="false">
      <c r="K259" s="0" t="s">
        <v>270</v>
      </c>
      <c r="L259" s="1" t="b">
        <f aca="false">ISBLANK(D5)</f>
        <v>0</v>
      </c>
    </row>
    <row r="260" customFormat="false" ht="12.8" hidden="false" customHeight="false" outlineLevel="0" collapsed="false">
      <c r="K260" s="0" t="s">
        <v>271</v>
      </c>
      <c r="L260" s="1" t="b">
        <f aca="false">ISBLANK(Other!Z1)</f>
        <v>1</v>
      </c>
    </row>
    <row r="261" customFormat="false" ht="12.8" hidden="false" customHeight="false" outlineLevel="0" collapsed="false">
      <c r="K261" s="0" t="s">
        <v>272</v>
      </c>
      <c r="L261" s="1" t="b">
        <f aca="false">ISNUMBER(A1)</f>
        <v>1</v>
      </c>
    </row>
    <row r="262" customFormat="false" ht="12.8" hidden="false" customHeight="false" outlineLevel="0" collapsed="false">
      <c r="K262" s="0" t="s">
        <v>273</v>
      </c>
      <c r="L262" s="1" t="b">
        <f aca="false">ISNUMBER(D5)</f>
        <v>0</v>
      </c>
    </row>
    <row r="263" customFormat="false" ht="12.8" hidden="false" customHeight="false" outlineLevel="0" collapsed="false">
      <c r="K263" s="0" t="s">
        <v>274</v>
      </c>
      <c r="L263" s="1" t="b">
        <f aca="false">ISNUMBER("1")</f>
        <v>0</v>
      </c>
    </row>
    <row r="264" customFormat="false" ht="12.8" hidden="false" customHeight="false" outlineLevel="0" collapsed="false">
      <c r="K264" s="0" t="s">
        <v>275</v>
      </c>
      <c r="L264" s="1" t="b">
        <f aca="false">ISNUMBER(D4)</f>
        <v>0</v>
      </c>
    </row>
    <row r="265" customFormat="false" ht="12.8" hidden="false" customHeight="false" outlineLevel="0" collapsed="false">
      <c r="K265" s="0" t="s">
        <v>276</v>
      </c>
      <c r="L265" s="1" t="b">
        <f aca="false">ISNUMBER(E1)</f>
        <v>1</v>
      </c>
    </row>
    <row r="266" customFormat="false" ht="12.8" hidden="false" customHeight="false" outlineLevel="0" collapsed="false">
      <c r="K266" s="0" t="s">
        <v>277</v>
      </c>
      <c r="L266" s="1" t="b">
        <f aca="false">ISNUMBER(D1)</f>
        <v>1</v>
      </c>
    </row>
    <row r="267" customFormat="false" ht="12.8" hidden="false" customHeight="false" outlineLevel="0" collapsed="false">
      <c r="K267" s="0" t="s">
        <v>278</v>
      </c>
      <c r="L267" s="1" t="b">
        <f aca="false">ISNUMBER(H1)</f>
        <v>0</v>
      </c>
    </row>
    <row r="268" customFormat="false" ht="12.8" hidden="false" customHeight="false" outlineLevel="0" collapsed="false">
      <c r="K268" s="0" t="s">
        <v>279</v>
      </c>
      <c r="L268" s="1" t="b">
        <f aca="false">ISNUMBER(--D5)</f>
        <v>1</v>
      </c>
    </row>
    <row r="269" customFormat="false" ht="12.8" hidden="false" customHeight="false" outlineLevel="0" collapsed="false">
      <c r="K269" s="0" t="s">
        <v>280</v>
      </c>
      <c r="L269" s="1" t="b">
        <f aca="false">ISNUMBER(A1)</f>
        <v>1</v>
      </c>
    </row>
    <row r="270" customFormat="false" ht="12.8" hidden="false" customHeight="false" outlineLevel="0" collapsed="false">
      <c r="K270" s="0" t="s">
        <v>281</v>
      </c>
      <c r="L270" s="1" t="b">
        <f aca="false">ISTEXT(B1)</f>
        <v>1</v>
      </c>
    </row>
    <row r="271" customFormat="false" ht="12.8" hidden="false" customHeight="false" outlineLevel="0" collapsed="false">
      <c r="K271" s="0" t="s">
        <v>282</v>
      </c>
      <c r="L271" s="1" t="b">
        <f aca="false">ISTEXT(D5)</f>
        <v>1</v>
      </c>
    </row>
    <row r="272" customFormat="false" ht="12.8" hidden="false" customHeight="false" outlineLevel="0" collapsed="false">
      <c r="K272" s="0" t="s">
        <v>283</v>
      </c>
      <c r="L272" s="1" t="b">
        <f aca="false">ISTEXT(D3)</f>
        <v>1</v>
      </c>
    </row>
    <row r="273" customFormat="false" ht="12.8" hidden="false" customHeight="false" outlineLevel="0" collapsed="false">
      <c r="K273" s="0" t="s">
        <v>284</v>
      </c>
      <c r="L273" s="1" t="b">
        <f aca="false">ISTEXT(D4)</f>
        <v>0</v>
      </c>
    </row>
    <row r="274" customFormat="false" ht="12.8" hidden="false" customHeight="false" outlineLevel="0" collapsed="false">
      <c r="K274" s="0" t="s">
        <v>285</v>
      </c>
      <c r="L274" s="1" t="b">
        <f aca="false">ISTEXT(A1)</f>
        <v>0</v>
      </c>
    </row>
    <row r="275" customFormat="false" ht="12.8" hidden="false" customHeight="false" outlineLevel="0" collapsed="false">
      <c r="K275" s="0" t="s">
        <v>286</v>
      </c>
      <c r="L275" s="1" t="b">
        <f aca="false">ISTEXT(H1)</f>
        <v>0</v>
      </c>
    </row>
    <row r="276" customFormat="false" ht="12.8" hidden="false" customHeight="false" outlineLevel="0" collapsed="false">
      <c r="K276" s="0" t="s">
        <v>287</v>
      </c>
      <c r="L276" s="1" t="b">
        <f aca="false">ISTEXT("")</f>
        <v>1</v>
      </c>
    </row>
    <row r="277" customFormat="false" ht="12.8" hidden="false" customHeight="false" outlineLevel="0" collapsed="false">
      <c r="K277" s="0" t="s">
        <v>288</v>
      </c>
      <c r="L277" s="1" t="b">
        <f aca="false">ISTEXT(D1)</f>
        <v>0</v>
      </c>
    </row>
    <row r="278" customFormat="false" ht="12.8" hidden="false" customHeight="false" outlineLevel="0" collapsed="false">
      <c r="K278" s="0" t="s">
        <v>289</v>
      </c>
      <c r="L278" s="1" t="b">
        <f aca="false">ISTEXT(A1&amp;"")</f>
        <v>1</v>
      </c>
    </row>
    <row r="279" customFormat="false" ht="12.8" hidden="false" customHeight="false" outlineLevel="0" collapsed="false">
      <c r="K279" s="0" t="s">
        <v>290</v>
      </c>
      <c r="L279" s="1" t="b">
        <f aca="false">ISERROR(H1)</f>
        <v>1</v>
      </c>
    </row>
    <row r="280" customFormat="false" ht="12.8" hidden="false" customHeight="false" outlineLevel="0" collapsed="false">
      <c r="K280" s="0" t="s">
        <v>291</v>
      </c>
      <c r="L280" s="1" t="b">
        <f aca="false">ISERROR(H2)</f>
        <v>1</v>
      </c>
    </row>
    <row r="281" customFormat="false" ht="12.8" hidden="false" customHeight="false" outlineLevel="0" collapsed="false">
      <c r="K281" s="0" t="s">
        <v>292</v>
      </c>
      <c r="L281" s="1" t="b">
        <f aca="false">ISERROR(A1)</f>
        <v>0</v>
      </c>
    </row>
    <row r="282" customFormat="false" ht="12.8" hidden="false" customHeight="false" outlineLevel="0" collapsed="false">
      <c r="K282" s="0" t="s">
        <v>293</v>
      </c>
      <c r="L282" s="1" t="b">
        <f aca="false">ISERROR(1/0)</f>
        <v>1</v>
      </c>
    </row>
    <row r="283" customFormat="false" ht="12.8" hidden="false" customHeight="false" outlineLevel="0" collapsed="false">
      <c r="K283" s="0" t="s">
        <v>294</v>
      </c>
      <c r="L283" s="1" t="b">
        <f aca="false">ISERROR(D4)</f>
        <v>0</v>
      </c>
    </row>
    <row r="284" customFormat="false" ht="12.8" hidden="false" customHeight="false" outlineLevel="0" collapsed="false">
      <c r="K284" s="0" t="s">
        <v>295</v>
      </c>
      <c r="L284" s="1" t="b">
        <f aca="false">ISERROR(VALUE("x"))</f>
        <v>1</v>
      </c>
    </row>
    <row r="285" customFormat="false" ht="12.8" hidden="false" customHeight="false" outlineLevel="0" collapsed="false">
      <c r="K285" s="0" t="s">
        <v>296</v>
      </c>
      <c r="L285" s="1" t="b">
        <f aca="false">ISERROR(NA())</f>
        <v>1</v>
      </c>
    </row>
    <row r="286" customFormat="false" ht="12.8" hidden="false" customHeight="false" outlineLevel="0" collapsed="false">
      <c r="K286" s="0" t="s">
        <v>297</v>
      </c>
      <c r="L286" s="1" t="b">
        <f aca="false">ISERROR(B1)</f>
        <v>0</v>
      </c>
    </row>
    <row r="287" customFormat="false" ht="12.8" hidden="false" customHeight="false" outlineLevel="0" collapsed="false">
      <c r="K287" s="0" t="s">
        <v>298</v>
      </c>
      <c r="L287" s="1" t="b">
        <f aca="false">ISERROR(SQRT(-1))</f>
        <v>1</v>
      </c>
    </row>
    <row r="288" customFormat="false" ht="12.8" hidden="false" customHeight="false" outlineLevel="0" collapsed="false">
      <c r="K288" s="0" t="s">
        <v>299</v>
      </c>
      <c r="L288" s="1" t="b">
        <f aca="false">ISNA(H2)</f>
        <v>1</v>
      </c>
    </row>
    <row r="289" customFormat="false" ht="12.8" hidden="false" customHeight="false" outlineLevel="0" collapsed="false">
      <c r="K289" s="0" t="s">
        <v>300</v>
      </c>
      <c r="L289" s="1" t="b">
        <f aca="false">ISNA(H1)</f>
        <v>0</v>
      </c>
    </row>
    <row r="290" customFormat="false" ht="12.8" hidden="false" customHeight="false" outlineLevel="0" collapsed="false">
      <c r="K290" s="0" t="s">
        <v>301</v>
      </c>
      <c r="L290" s="1" t="b">
        <f aca="false">ISNA(NA())</f>
        <v>1</v>
      </c>
    </row>
    <row r="291" customFormat="false" ht="12.8" hidden="false" customHeight="false" outlineLevel="0" collapsed="false">
      <c r="K291" s="0" t="s">
        <v>302</v>
      </c>
      <c r="L291" s="1" t="b">
        <f aca="false">ISNA(A1)</f>
        <v>0</v>
      </c>
    </row>
    <row r="292" customFormat="false" ht="12.8" hidden="false" customHeight="false" outlineLevel="0" collapsed="false">
      <c r="K292" s="0" t="s">
        <v>303</v>
      </c>
      <c r="L292" s="1" t="b">
        <f aca="false">ISNA(VLOOKUP(999,F1:G4,2,FALSE()))</f>
        <v>1</v>
      </c>
    </row>
    <row r="293" customFormat="false" ht="12.8" hidden="false" customHeight="false" outlineLevel="0" collapsed="false">
      <c r="K293" s="0" t="s">
        <v>304</v>
      </c>
      <c r="L293" s="1" t="b">
        <f aca="false">ISNA(1/0)</f>
        <v>0</v>
      </c>
    </row>
    <row r="294" customFormat="false" ht="12.8" hidden="false" customHeight="false" outlineLevel="0" collapsed="false">
      <c r="K294" s="0" t="s">
        <v>305</v>
      </c>
      <c r="L294" s="1" t="b">
        <f aca="false">ISNA(D4)</f>
        <v>0</v>
      </c>
    </row>
    <row r="295" customFormat="false" ht="12.8" hidden="false" customHeight="false" outlineLevel="0" collapsed="false">
      <c r="K295" s="0" t="s">
        <v>306</v>
      </c>
      <c r="L295" s="1" t="b">
        <f aca="false">ISNA(MATCH("zzz",B1:B6,0))</f>
        <v>1</v>
      </c>
    </row>
    <row r="296" customFormat="false" ht="12.8" hidden="false" customHeight="false" outlineLevel="0" collapsed="false">
      <c r="K296" s="0" t="s">
        <v>307</v>
      </c>
      <c r="L296" s="0" t="e">
        <f aca="false">NA()</f>
        <v>#N/A</v>
      </c>
    </row>
    <row r="297" customFormat="false" ht="12.8" hidden="false" customHeight="false" outlineLevel="0" collapsed="false">
      <c r="K297" s="0" t="s">
        <v>301</v>
      </c>
      <c r="L297" s="1" t="b">
        <f aca="false">ISNA(NA())</f>
        <v>1</v>
      </c>
    </row>
    <row r="298" customFormat="false" ht="12.8" hidden="false" customHeight="false" outlineLevel="0" collapsed="false">
      <c r="K298" s="0" t="s">
        <v>308</v>
      </c>
      <c r="L298" s="0" t="n">
        <f aca="false">IFERROR(NA(),0)</f>
        <v>0</v>
      </c>
    </row>
    <row r="299" customFormat="false" ht="12.8" hidden="false" customHeight="false" outlineLevel="0" collapsed="false">
      <c r="K299" s="0" t="s">
        <v>309</v>
      </c>
      <c r="L299" s="0" t="e">
        <f aca="false">NA()+1</f>
        <v>#N/A</v>
      </c>
    </row>
    <row r="300" customFormat="false" ht="12.8" hidden="false" customHeight="false" outlineLevel="0" collapsed="false">
      <c r="K300" s="0" t="s">
        <v>310</v>
      </c>
      <c r="L300" s="0" t="e">
        <f aca="false">SUM(1,NA())</f>
        <v>#N/A</v>
      </c>
    </row>
    <row r="301" customFormat="false" ht="12.8" hidden="false" customHeight="false" outlineLevel="0" collapsed="false">
      <c r="K301" s="0" t="s">
        <v>311</v>
      </c>
      <c r="L301" s="0" t="e">
        <f aca="false">IF(TRUE(),NA(),1)</f>
        <v>#N/A</v>
      </c>
    </row>
    <row r="302" customFormat="false" ht="12.8" hidden="false" customHeight="false" outlineLevel="0" collapsed="false">
      <c r="K302" s="0" t="s">
        <v>296</v>
      </c>
      <c r="L302" s="1" t="b">
        <f aca="false">ISERROR(NA())</f>
        <v>1</v>
      </c>
    </row>
    <row r="303" customFormat="false" ht="12.8" hidden="false" customHeight="false" outlineLevel="0" collapsed="false">
      <c r="K303" s="0" t="s">
        <v>312</v>
      </c>
      <c r="L303" s="0" t="e">
        <f aca="false">H2</f>
        <v>#N/A</v>
      </c>
    </row>
    <row r="304" customFormat="false" ht="12.8" hidden="false" customHeight="false" outlineLevel="0" collapsed="false">
      <c r="K304" s="0" t="s">
        <v>313</v>
      </c>
      <c r="L304" s="0" t="e">
        <f aca="false">NA()&amp;"x"</f>
        <v>#N/A</v>
      </c>
    </row>
    <row r="305" customFormat="false" ht="12.8" hidden="false" customHeight="false" outlineLevel="0" collapsed="false">
      <c r="K305" s="0" t="s">
        <v>314</v>
      </c>
      <c r="L305" s="0" t="e">
        <f aca="false">NA()+H1</f>
        <v>#N/A</v>
      </c>
    </row>
    <row r="306" customFormat="false" ht="12.8" hidden="false" customHeight="false" outlineLevel="0" collapsed="false">
      <c r="K306" s="0" t="s">
        <v>315</v>
      </c>
      <c r="L306" s="0" t="str">
        <f aca="false">_xlfn.CONCAT("a","b")</f>
        <v>ab</v>
      </c>
    </row>
    <row r="307" customFormat="false" ht="12.8" hidden="false" customHeight="false" outlineLevel="0" collapsed="false">
      <c r="K307" s="0" t="s">
        <v>316</v>
      </c>
      <c r="L307" s="0" t="str">
        <f aca="false">_xlfn.CONCAT(B1:B3)</f>
        <v>applebananacherry</v>
      </c>
    </row>
    <row r="308" customFormat="false" ht="12.8" hidden="false" customHeight="false" outlineLevel="0" collapsed="false">
      <c r="K308" s="0" t="s">
        <v>317</v>
      </c>
      <c r="L308" s="0" t="str">
        <f aca="false">_xlfn.CONCAT(A1,B1)</f>
        <v>1apple</v>
      </c>
    </row>
    <row r="309" customFormat="false" ht="12.8" hidden="false" customHeight="false" outlineLevel="0" collapsed="false">
      <c r="K309" s="0" t="s">
        <v>318</v>
      </c>
      <c r="L309" s="0" t="str">
        <f aca="false">_xlfn.CONCAT(1,TRUE())</f>
        <v>11</v>
      </c>
    </row>
    <row r="310" customFormat="false" ht="12.8" hidden="false" customHeight="false" outlineLevel="0" collapsed="false">
      <c r="K310" s="0" t="s">
        <v>319</v>
      </c>
      <c r="L310" s="0" t="str">
        <f aca="false">_xlfn.CONCAT(D4,"x")</f>
        <v>x</v>
      </c>
    </row>
    <row r="311" customFormat="false" ht="12.8" hidden="false" customHeight="false" outlineLevel="0" collapsed="false">
      <c r="K311" s="0" t="s">
        <v>320</v>
      </c>
      <c r="L311" s="0" t="e">
        <f aca="false">_xlfn.CONCAT(H1,"x")</f>
        <v>#DIV/0!</v>
      </c>
    </row>
    <row r="312" customFormat="false" ht="12.8" hidden="false" customHeight="false" outlineLevel="0" collapsed="false">
      <c r="K312" s="0" t="s">
        <v>321</v>
      </c>
      <c r="L312" s="0" t="str">
        <f aca="false">_xlfn.CONCAT(A1:A3,"-")</f>
        <v>123-</v>
      </c>
    </row>
    <row r="313" customFormat="false" ht="12.8" hidden="false" customHeight="false" outlineLevel="0" collapsed="false">
      <c r="K313" s="0" t="s">
        <v>322</v>
      </c>
      <c r="L313" s="0" t="str">
        <f aca="false">_xlfn.CONCAT(D1:D3)</f>
        <v>10</v>
      </c>
    </row>
    <row r="314" customFormat="false" ht="12.8" hidden="false" customHeight="false" outlineLevel="0" collapsed="false">
      <c r="K314" s="0" t="s">
        <v>323</v>
      </c>
      <c r="L314" s="0" t="str">
        <f aca="false">_xlfn.CONCAT(C1:C2)</f>
        <v>10.5-2</v>
      </c>
    </row>
    <row r="315" customFormat="false" ht="12.8" hidden="false" customHeight="false" outlineLevel="0" collapsed="false">
      <c r="K315" s="0" t="s">
        <v>324</v>
      </c>
      <c r="L315" s="0" t="str">
        <f aca="false">CONCATENATE("a","b","c")</f>
        <v>abc</v>
      </c>
    </row>
    <row r="316" customFormat="false" ht="12.8" hidden="false" customHeight="false" outlineLevel="0" collapsed="false">
      <c r="K316" s="0" t="s">
        <v>325</v>
      </c>
      <c r="L316" s="0" t="str">
        <f aca="false">CONCATENATE(B1," ",B2)</f>
        <v>apple banana</v>
      </c>
    </row>
    <row r="317" customFormat="false" ht="12.8" hidden="false" customHeight="false" outlineLevel="0" collapsed="false">
      <c r="K317" s="0" t="s">
        <v>326</v>
      </c>
      <c r="L317" s="0" t="str">
        <f aca="false">CONCATENATE(A1,A2)</f>
        <v>12</v>
      </c>
    </row>
    <row r="318" customFormat="false" ht="12.8" hidden="false" customHeight="false" outlineLevel="0" collapsed="false">
      <c r="K318" s="0" t="s">
        <v>327</v>
      </c>
      <c r="L318" s="0" t="str">
        <f aca="false">CONCATENATE(D4)</f>
        <v/>
      </c>
    </row>
    <row r="319" customFormat="false" ht="12.8" hidden="false" customHeight="false" outlineLevel="0" collapsed="false">
      <c r="K319" s="0" t="s">
        <v>328</v>
      </c>
      <c r="L319" s="0" t="e">
        <f aca="false">CONCATENATE(H1,"x")</f>
        <v>#DIV/0!</v>
      </c>
    </row>
    <row r="320" customFormat="false" ht="12.8" hidden="false" customHeight="false" outlineLevel="0" collapsed="false">
      <c r="K320" s="0" t="s">
        <v>329</v>
      </c>
      <c r="L320" s="0" t="str">
        <f aca="false">CONCATENATE(C1,"%")</f>
        <v>10.5%</v>
      </c>
    </row>
    <row r="321" customFormat="false" ht="12.8" hidden="false" customHeight="false" outlineLevel="0" collapsed="false">
      <c r="K321" s="0" t="s">
        <v>330</v>
      </c>
      <c r="L321" s="0" t="str">
        <f aca="false">CONCATENATE(1/4)</f>
        <v>0.25</v>
      </c>
    </row>
    <row r="322" customFormat="false" ht="12.8" hidden="false" customHeight="false" outlineLevel="0" collapsed="false">
      <c r="K322" s="0" t="s">
        <v>331</v>
      </c>
      <c r="L322" s="0" t="str">
        <f aca="false">CONCATENATE(D1,D2)</f>
        <v>10</v>
      </c>
    </row>
    <row r="323" customFormat="false" ht="12.8" hidden="false" customHeight="false" outlineLevel="0" collapsed="false">
      <c r="K323" s="0" t="s">
        <v>332</v>
      </c>
      <c r="L323" s="0" t="str">
        <f aca="false">LEFT("hello",2)</f>
        <v>he</v>
      </c>
    </row>
    <row r="324" customFormat="false" ht="12.8" hidden="false" customHeight="false" outlineLevel="0" collapsed="false">
      <c r="K324" s="0" t="s">
        <v>333</v>
      </c>
      <c r="L324" s="0" t="str">
        <f aca="false">LEFT("hello")</f>
        <v>h</v>
      </c>
    </row>
    <row r="325" customFormat="false" ht="12.8" hidden="false" customHeight="false" outlineLevel="0" collapsed="false">
      <c r="K325" s="0" t="s">
        <v>334</v>
      </c>
      <c r="L325" s="0" t="str">
        <f aca="false">LEFT(B1,3)</f>
        <v>app</v>
      </c>
    </row>
    <row r="326" customFormat="false" ht="12.8" hidden="false" customHeight="false" outlineLevel="0" collapsed="false">
      <c r="K326" s="0" t="s">
        <v>335</v>
      </c>
      <c r="L326" s="0" t="str">
        <f aca="false">LEFT(B1,0)</f>
        <v/>
      </c>
    </row>
    <row r="327" customFormat="false" ht="12.8" hidden="false" customHeight="false" outlineLevel="0" collapsed="false">
      <c r="K327" s="0" t="s">
        <v>336</v>
      </c>
      <c r="L327" s="0" t="str">
        <f aca="false">LEFT(B1,100)</f>
        <v>apple</v>
      </c>
    </row>
    <row r="328" customFormat="false" ht="12.8" hidden="false" customHeight="false" outlineLevel="0" collapsed="false">
      <c r="K328" s="0" t="s">
        <v>337</v>
      </c>
      <c r="L328" s="0" t="str">
        <f aca="false">LEFT(A4,1)</f>
        <v>4</v>
      </c>
    </row>
    <row r="329" customFormat="false" ht="12.8" hidden="false" customHeight="false" outlineLevel="0" collapsed="false">
      <c r="K329" s="0" t="s">
        <v>338</v>
      </c>
      <c r="L329" s="0" t="str">
        <f aca="false">LEFT(C1,2)</f>
        <v>10</v>
      </c>
    </row>
    <row r="330" customFormat="false" ht="12.8" hidden="false" customHeight="false" outlineLevel="0" collapsed="false">
      <c r="K330" s="0" t="s">
        <v>339</v>
      </c>
      <c r="L330" s="0" t="e">
        <f aca="false">LEFT(H1,1)</f>
        <v>#DIV/0!</v>
      </c>
    </row>
    <row r="331" customFormat="false" ht="12.8" hidden="false" customHeight="false" outlineLevel="0" collapsed="false">
      <c r="K331" s="0" t="s">
        <v>340</v>
      </c>
      <c r="L331" s="0" t="e">
        <f aca="false">LEFT(B1,-1)</f>
        <v>#VALUE!</v>
      </c>
    </row>
    <row r="332" customFormat="false" ht="12.8" hidden="false" customHeight="false" outlineLevel="0" collapsed="false">
      <c r="K332" s="0" t="s">
        <v>341</v>
      </c>
      <c r="L332" s="0" t="str">
        <f aca="false">LEFT(D4,2)</f>
        <v/>
      </c>
    </row>
    <row r="333" customFormat="false" ht="12.8" hidden="false" customHeight="false" outlineLevel="0" collapsed="false">
      <c r="K333" s="0" t="s">
        <v>342</v>
      </c>
      <c r="L333" s="0" t="str">
        <f aca="false">LEFT(D1,2)</f>
        <v>1</v>
      </c>
    </row>
    <row r="334" customFormat="false" ht="12.8" hidden="false" customHeight="false" outlineLevel="0" collapsed="false">
      <c r="K334" s="0" t="s">
        <v>343</v>
      </c>
      <c r="L334" s="0" t="str">
        <f aca="false">LEFT(E1,3)</f>
        <v>453</v>
      </c>
    </row>
    <row r="335" customFormat="false" ht="12.8" hidden="false" customHeight="false" outlineLevel="0" collapsed="false">
      <c r="K335" s="0" t="s">
        <v>344</v>
      </c>
      <c r="L335" s="0" t="str">
        <f aca="false">LEFT("abc",1.9)</f>
        <v>a</v>
      </c>
    </row>
    <row r="336" customFormat="false" ht="12.8" hidden="false" customHeight="false" outlineLevel="0" collapsed="false">
      <c r="K336" s="0" t="s">
        <v>345</v>
      </c>
      <c r="L336" s="0" t="str">
        <f aca="false">RIGHT("hello",2)</f>
        <v>lo</v>
      </c>
    </row>
    <row r="337" customFormat="false" ht="12.8" hidden="false" customHeight="false" outlineLevel="0" collapsed="false">
      <c r="K337" s="0" t="s">
        <v>346</v>
      </c>
      <c r="L337" s="0" t="str">
        <f aca="false">RIGHT("hello")</f>
        <v>o</v>
      </c>
    </row>
    <row r="338" customFormat="false" ht="12.8" hidden="false" customHeight="false" outlineLevel="0" collapsed="false">
      <c r="K338" s="0" t="s">
        <v>347</v>
      </c>
      <c r="L338" s="0" t="str">
        <f aca="false">RIGHT(B5,3)</f>
        <v>rry</v>
      </c>
    </row>
    <row r="339" customFormat="false" ht="12.8" hidden="false" customHeight="false" outlineLevel="0" collapsed="false">
      <c r="K339" s="0" t="s">
        <v>348</v>
      </c>
      <c r="L339" s="0" t="str">
        <f aca="false">RIGHT(B1,0)</f>
        <v/>
      </c>
    </row>
    <row r="340" customFormat="false" ht="12.8" hidden="false" customHeight="false" outlineLevel="0" collapsed="false">
      <c r="K340" s="0" t="s">
        <v>349</v>
      </c>
      <c r="L340" s="0" t="str">
        <f aca="false">RIGHT(B1,99)</f>
        <v>apple</v>
      </c>
    </row>
    <row r="341" customFormat="false" ht="12.8" hidden="false" customHeight="false" outlineLevel="0" collapsed="false">
      <c r="K341" s="0" t="s">
        <v>350</v>
      </c>
      <c r="L341" s="0" t="str">
        <f aca="false">RIGHT(C1,1)</f>
        <v>5</v>
      </c>
    </row>
    <row r="342" customFormat="false" ht="12.8" hidden="false" customHeight="false" outlineLevel="0" collapsed="false">
      <c r="K342" s="0" t="s">
        <v>351</v>
      </c>
      <c r="L342" s="0" t="e">
        <f aca="false">RIGHT(H2,1)</f>
        <v>#N/A</v>
      </c>
    </row>
    <row r="343" customFormat="false" ht="12.8" hidden="false" customHeight="false" outlineLevel="0" collapsed="false">
      <c r="K343" s="0" t="s">
        <v>352</v>
      </c>
      <c r="L343" s="0" t="e">
        <f aca="false">RIGHT(B1,-1)</f>
        <v>#VALUE!</v>
      </c>
    </row>
    <row r="344" customFormat="false" ht="12.8" hidden="false" customHeight="false" outlineLevel="0" collapsed="false">
      <c r="K344" s="0" t="s">
        <v>353</v>
      </c>
      <c r="L344" s="0" t="str">
        <f aca="false">RIGHT(D4,1)</f>
        <v/>
      </c>
    </row>
    <row r="345" customFormat="false" ht="12.8" hidden="false" customHeight="false" outlineLevel="0" collapsed="false">
      <c r="K345" s="0" t="s">
        <v>354</v>
      </c>
      <c r="L345" s="0" t="str">
        <f aca="false">RIGHT(D6,3)</f>
        <v>d  </v>
      </c>
    </row>
    <row r="346" customFormat="false" ht="12.8" hidden="false" customHeight="false" outlineLevel="0" collapsed="false">
      <c r="K346" s="0" t="s">
        <v>355</v>
      </c>
      <c r="L346" s="0" t="str">
        <f aca="false">MID("hello",2,3)</f>
        <v>ell</v>
      </c>
    </row>
    <row r="347" customFormat="false" ht="12.8" hidden="false" customHeight="false" outlineLevel="0" collapsed="false">
      <c r="K347" s="0" t="s">
        <v>356</v>
      </c>
      <c r="L347" s="0" t="str">
        <f aca="false">MID(B1,1,1)</f>
        <v>a</v>
      </c>
    </row>
    <row r="348" customFormat="false" ht="12.8" hidden="false" customHeight="false" outlineLevel="0" collapsed="false">
      <c r="K348" s="0" t="s">
        <v>357</v>
      </c>
      <c r="L348" s="0" t="str">
        <f aca="false">MID(B1,10,2)</f>
        <v/>
      </c>
    </row>
    <row r="349" customFormat="false" ht="12.8" hidden="false" customHeight="false" outlineLevel="0" collapsed="false">
      <c r="K349" s="0" t="s">
        <v>358</v>
      </c>
      <c r="L349" s="0" t="e">
        <f aca="false">MID(B1,0,2)</f>
        <v>#VALUE!</v>
      </c>
    </row>
    <row r="350" customFormat="false" ht="12.8" hidden="false" customHeight="false" outlineLevel="0" collapsed="false">
      <c r="K350" s="0" t="s">
        <v>359</v>
      </c>
      <c r="L350" s="0" t="str">
        <f aca="false">MID(B5,3,100)</f>
        <v>derberry</v>
      </c>
    </row>
    <row r="351" customFormat="false" ht="12.8" hidden="false" customHeight="false" outlineLevel="0" collapsed="false">
      <c r="K351" s="0" t="s">
        <v>360</v>
      </c>
      <c r="L351" s="0" t="str">
        <f aca="false">MID(A1,1,1)</f>
        <v>1</v>
      </c>
    </row>
    <row r="352" customFormat="false" ht="12.8" hidden="false" customHeight="false" outlineLevel="0" collapsed="false">
      <c r="K352" s="0" t="s">
        <v>361</v>
      </c>
      <c r="L352" s="0" t="e">
        <f aca="false">MID(H1,1,1)</f>
        <v>#DIV/0!</v>
      </c>
    </row>
    <row r="353" customFormat="false" ht="12.8" hidden="false" customHeight="false" outlineLevel="0" collapsed="false">
      <c r="K353" s="0" t="s">
        <v>362</v>
      </c>
      <c r="L353" s="0" t="e">
        <f aca="false">MID(B1,2,-1)</f>
        <v>#VALUE!</v>
      </c>
    </row>
    <row r="354" customFormat="false" ht="12.8" hidden="false" customHeight="false" outlineLevel="0" collapsed="false">
      <c r="K354" s="0" t="s">
        <v>363</v>
      </c>
      <c r="L354" s="0" t="str">
        <f aca="false">MID(C1,2,3)</f>
        <v>0.5</v>
      </c>
    </row>
    <row r="355" customFormat="false" ht="12.8" hidden="false" customHeight="false" outlineLevel="0" collapsed="false">
      <c r="K355" s="0" t="s">
        <v>364</v>
      </c>
      <c r="L355" s="0" t="str">
        <f aca="false">MID(B2,2,0)</f>
        <v/>
      </c>
    </row>
    <row r="356" customFormat="false" ht="12.8" hidden="false" customHeight="false" outlineLevel="0" collapsed="false">
      <c r="K356" s="0" t="s">
        <v>365</v>
      </c>
      <c r="L356" s="0" t="str">
        <f aca="false">MID(D4,1,5)</f>
        <v/>
      </c>
    </row>
    <row r="357" customFormat="false" ht="12.8" hidden="false" customHeight="false" outlineLevel="0" collapsed="false">
      <c r="K357" s="0" t="s">
        <v>366</v>
      </c>
      <c r="L357" s="0" t="n">
        <f aca="false">LEN("hello")</f>
        <v>5</v>
      </c>
    </row>
    <row r="358" customFormat="false" ht="12.8" hidden="false" customHeight="false" outlineLevel="0" collapsed="false">
      <c r="K358" s="0" t="s">
        <v>367</v>
      </c>
      <c r="L358" s="0" t="n">
        <f aca="false">LEN(B5)</f>
        <v>10</v>
      </c>
    </row>
    <row r="359" customFormat="false" ht="12.8" hidden="false" customHeight="false" outlineLevel="0" collapsed="false">
      <c r="K359" s="0" t="s">
        <v>368</v>
      </c>
      <c r="L359" s="0" t="n">
        <f aca="false">LEN(D3)</f>
        <v>0</v>
      </c>
    </row>
    <row r="360" customFormat="false" ht="12.8" hidden="false" customHeight="false" outlineLevel="0" collapsed="false">
      <c r="K360" s="0" t="s">
        <v>369</v>
      </c>
      <c r="L360" s="0" t="n">
        <f aca="false">LEN(D4)</f>
        <v>0</v>
      </c>
    </row>
    <row r="361" customFormat="false" ht="12.8" hidden="false" customHeight="false" outlineLevel="0" collapsed="false">
      <c r="K361" s="0" t="s">
        <v>370</v>
      </c>
      <c r="L361" s="0" t="n">
        <f aca="false">LEN(D6)</f>
        <v>10</v>
      </c>
    </row>
    <row r="362" customFormat="false" ht="12.8" hidden="false" customHeight="false" outlineLevel="0" collapsed="false">
      <c r="K362" s="0" t="s">
        <v>371</v>
      </c>
      <c r="L362" s="0" t="n">
        <f aca="false">LEN(C1)</f>
        <v>4</v>
      </c>
    </row>
    <row r="363" customFormat="false" ht="12.8" hidden="false" customHeight="false" outlineLevel="0" collapsed="false">
      <c r="K363" s="0" t="s">
        <v>372</v>
      </c>
      <c r="L363" s="0" t="n">
        <f aca="false">LEN(A1)</f>
        <v>1</v>
      </c>
    </row>
    <row r="364" customFormat="false" ht="12.8" hidden="false" customHeight="false" outlineLevel="0" collapsed="false">
      <c r="K364" s="0" t="s">
        <v>373</v>
      </c>
      <c r="L364" s="0" t="e">
        <f aca="false">LEN(H1)</f>
        <v>#DIV/0!</v>
      </c>
    </row>
    <row r="365" customFormat="false" ht="12.8" hidden="false" customHeight="false" outlineLevel="0" collapsed="false">
      <c r="K365" s="0" t="s">
        <v>374</v>
      </c>
      <c r="L365" s="0" t="n">
        <f aca="false">LEN(TRUE())</f>
        <v>1</v>
      </c>
    </row>
    <row r="366" customFormat="false" ht="12.8" hidden="false" customHeight="false" outlineLevel="0" collapsed="false">
      <c r="K366" s="0" t="s">
        <v>375</v>
      </c>
      <c r="L366" s="0" t="n">
        <f aca="false">LEN(E3)</f>
        <v>8</v>
      </c>
    </row>
    <row r="367" customFormat="false" ht="12.8" hidden="false" customHeight="false" outlineLevel="0" collapsed="false">
      <c r="K367" s="0" t="s">
        <v>376</v>
      </c>
      <c r="L367" s="0" t="n">
        <f aca="false">LEN("")</f>
        <v>0</v>
      </c>
    </row>
    <row r="368" customFormat="false" ht="12.8" hidden="false" customHeight="false" outlineLevel="0" collapsed="false">
      <c r="K368" s="0" t="s">
        <v>377</v>
      </c>
      <c r="L368" s="0" t="n">
        <f aca="false">LEN("Äpfel")</f>
        <v>5</v>
      </c>
    </row>
    <row r="369" customFormat="false" ht="12.8" hidden="false" customHeight="false" outlineLevel="0" collapsed="false">
      <c r="K369" s="0" t="s">
        <v>378</v>
      </c>
      <c r="L369" s="0" t="str">
        <f aca="false">UPPER("abc")</f>
        <v>ABC</v>
      </c>
    </row>
    <row r="370" customFormat="false" ht="12.8" hidden="false" customHeight="false" outlineLevel="0" collapsed="false">
      <c r="K370" s="0" t="s">
        <v>379</v>
      </c>
      <c r="L370" s="0" t="str">
        <f aca="false">UPPER(B1)</f>
        <v>APPLE</v>
      </c>
    </row>
    <row r="371" customFormat="false" ht="12.8" hidden="false" customHeight="false" outlineLevel="0" collapsed="false">
      <c r="K371" s="0" t="s">
        <v>380</v>
      </c>
      <c r="L371" s="0" t="str">
        <f aca="false">UPPER(A1)</f>
        <v>1</v>
      </c>
    </row>
    <row r="372" customFormat="false" ht="12.8" hidden="false" customHeight="false" outlineLevel="0" collapsed="false">
      <c r="K372" s="0" t="s">
        <v>381</v>
      </c>
      <c r="L372" s="0" t="str">
        <f aca="false">UPPER(D4)</f>
        <v/>
      </c>
    </row>
    <row r="373" customFormat="false" ht="12.8" hidden="false" customHeight="false" outlineLevel="0" collapsed="false">
      <c r="K373" s="0" t="s">
        <v>382</v>
      </c>
      <c r="L373" s="0" t="e">
        <f aca="false">UPPER(H1)</f>
        <v>#DIV/0!</v>
      </c>
    </row>
    <row r="374" customFormat="false" ht="12.8" hidden="false" customHeight="false" outlineLevel="0" collapsed="false">
      <c r="K374" s="0" t="s">
        <v>383</v>
      </c>
      <c r="L374" s="0" t="str">
        <f aca="false">UPPER("äö")</f>
        <v>ÄÖ</v>
      </c>
    </row>
    <row r="375" customFormat="false" ht="12.8" hidden="false" customHeight="false" outlineLevel="0" collapsed="false">
      <c r="K375" s="0" t="s">
        <v>384</v>
      </c>
      <c r="L375" s="0" t="str">
        <f aca="false">UPPER(TRUE())</f>
        <v>1</v>
      </c>
    </row>
    <row r="376" customFormat="false" ht="12.8" hidden="false" customHeight="false" outlineLevel="0" collapsed="false">
      <c r="K376" s="0" t="s">
        <v>385</v>
      </c>
      <c r="L376" s="0" t="str">
        <f aca="false">UPPER(B1&amp;B2)</f>
        <v>APPLEBANANA</v>
      </c>
    </row>
    <row r="377" customFormat="false" ht="12.8" hidden="false" customHeight="false" outlineLevel="0" collapsed="false">
      <c r="K377" s="0" t="s">
        <v>386</v>
      </c>
      <c r="L377" s="0" t="str">
        <f aca="false">LOWER("ABC")</f>
        <v>abc</v>
      </c>
    </row>
    <row r="378" customFormat="false" ht="12.8" hidden="false" customHeight="false" outlineLevel="0" collapsed="false">
      <c r="K378" s="0" t="s">
        <v>387</v>
      </c>
      <c r="L378" s="0" t="str">
        <f aca="false">LOWER(B1)</f>
        <v>apple</v>
      </c>
    </row>
    <row r="379" customFormat="false" ht="12.8" hidden="false" customHeight="false" outlineLevel="0" collapsed="false">
      <c r="K379" s="0" t="s">
        <v>388</v>
      </c>
      <c r="L379" s="0" t="str">
        <f aca="false">LOWER("ÄÖ")</f>
        <v>äö</v>
      </c>
    </row>
    <row r="380" customFormat="false" ht="12.8" hidden="false" customHeight="false" outlineLevel="0" collapsed="false">
      <c r="K380" s="0" t="s">
        <v>389</v>
      </c>
      <c r="L380" s="0" t="str">
        <f aca="false">LOWER(D6)</f>
        <v>  padded  </v>
      </c>
    </row>
    <row r="381" customFormat="false" ht="12.8" hidden="false" customHeight="false" outlineLevel="0" collapsed="false">
      <c r="K381" s="0" t="s">
        <v>390</v>
      </c>
      <c r="L381" s="0" t="e">
        <f aca="false">LOWER(H1)</f>
        <v>#DIV/0!</v>
      </c>
    </row>
    <row r="382" customFormat="false" ht="12.8" hidden="false" customHeight="false" outlineLevel="0" collapsed="false">
      <c r="K382" s="0" t="s">
        <v>391</v>
      </c>
      <c r="L382" s="0" t="str">
        <f aca="false">LOWER(D4)</f>
        <v/>
      </c>
    </row>
    <row r="383" customFormat="false" ht="12.8" hidden="false" customHeight="false" outlineLevel="0" collapsed="false">
      <c r="K383" s="0" t="s">
        <v>392</v>
      </c>
      <c r="L383" s="0" t="str">
        <f aca="false">LOWER(TRUE())</f>
        <v>1</v>
      </c>
    </row>
    <row r="384" customFormat="false" ht="12.8" hidden="false" customHeight="false" outlineLevel="0" collapsed="false">
      <c r="K384" s="0" t="s">
        <v>393</v>
      </c>
      <c r="L384" s="0" t="str">
        <f aca="false">LOWER(UPPER(B2))</f>
        <v>banana</v>
      </c>
    </row>
    <row r="385" customFormat="false" ht="12.8" hidden="false" customHeight="false" outlineLevel="0" collapsed="false">
      <c r="K385" s="0" t="s">
        <v>394</v>
      </c>
      <c r="L385" s="0" t="str">
        <f aca="false">TRIM("  a  b  ")</f>
        <v>a b</v>
      </c>
    </row>
    <row r="386" customFormat="false" ht="12.8" hidden="false" customHeight="false" outlineLevel="0" collapsed="false">
      <c r="K386" s="0" t="s">
        <v>395</v>
      </c>
      <c r="L386" s="0" t="str">
        <f aca="false">TRIM(D6)</f>
        <v>padded</v>
      </c>
    </row>
    <row r="387" customFormat="false" ht="12.8" hidden="false" customHeight="false" outlineLevel="0" collapsed="false">
      <c r="K387" s="0" t="s">
        <v>396</v>
      </c>
      <c r="L387" s="0" t="str">
        <f aca="false">TRIM(B1)</f>
        <v>apple</v>
      </c>
    </row>
    <row r="388" customFormat="false" ht="12.8" hidden="false" customHeight="false" outlineLevel="0" collapsed="false">
      <c r="K388" s="0" t="s">
        <v>397</v>
      </c>
      <c r="L388" s="0" t="str">
        <f aca="false">TRIM(D4)</f>
        <v/>
      </c>
    </row>
    <row r="389" customFormat="false" ht="12.8" hidden="false" customHeight="false" outlineLevel="0" collapsed="false">
      <c r="K389" s="0" t="s">
        <v>398</v>
      </c>
      <c r="L389" s="0" t="e">
        <f aca="false">TRIM(H1)</f>
        <v>#DIV/0!</v>
      </c>
    </row>
    <row r="390" customFormat="false" ht="12.8" hidden="false" customHeight="false" outlineLevel="0" collapsed="false">
      <c r="K390" s="0" t="s">
        <v>399</v>
      </c>
      <c r="L390" s="0" t="str">
        <f aca="false">TRIM(A1)</f>
        <v>1</v>
      </c>
    </row>
    <row r="391" customFormat="false" ht="12.8" hidden="false" customHeight="false" outlineLevel="0" collapsed="false">
      <c r="K391" s="0" t="s">
        <v>400</v>
      </c>
      <c r="L391" s="0" t="str">
        <f aca="false">TRIM("   ")</f>
        <v/>
      </c>
    </row>
    <row r="392" customFormat="false" ht="12.8" hidden="false" customHeight="false" outlineLevel="0" collapsed="false">
      <c r="K392" s="0" t="s">
        <v>401</v>
      </c>
      <c r="L392" s="0" t="str">
        <f aca="false">TRIM(D5)</f>
        <v>42</v>
      </c>
    </row>
    <row r="393" customFormat="false" ht="12.8" hidden="false" customHeight="false" outlineLevel="0" collapsed="false">
      <c r="K393" s="0" t="s">
        <v>402</v>
      </c>
      <c r="L393" s="0" t="n">
        <f aca="false">FIND("a","banana")</f>
        <v>2</v>
      </c>
    </row>
    <row r="394" customFormat="false" ht="12.8" hidden="false" customHeight="false" outlineLevel="0" collapsed="false">
      <c r="K394" s="0" t="s">
        <v>403</v>
      </c>
      <c r="L394" s="0" t="n">
        <f aca="false">FIND("a","banana",3)</f>
        <v>4</v>
      </c>
    </row>
    <row r="395" customFormat="false" ht="12.8" hidden="false" customHeight="false" outlineLevel="0" collapsed="false">
      <c r="K395" s="0" t="s">
        <v>404</v>
      </c>
      <c r="L395" s="0" t="e">
        <f aca="false">FIND("A","banana")</f>
        <v>#VALUE!</v>
      </c>
    </row>
    <row r="396" customFormat="false" ht="12.8" hidden="false" customHeight="false" outlineLevel="0" collapsed="false">
      <c r="K396" s="0" t="s">
        <v>405</v>
      </c>
      <c r="L396" s="0" t="e">
        <f aca="false">FIND("","abc")</f>
        <v>#VALUE!</v>
      </c>
    </row>
    <row r="397" customFormat="false" ht="12.8" hidden="false" customHeight="false" outlineLevel="0" collapsed="false">
      <c r="K397" s="0" t="s">
        <v>406</v>
      </c>
      <c r="L397" s="0" t="e">
        <f aca="false">FIND("z",B1)</f>
        <v>#VALUE!</v>
      </c>
    </row>
    <row r="398" customFormat="false" ht="12.8" hidden="false" customHeight="false" outlineLevel="0" collapsed="false">
      <c r="K398" s="0" t="s">
        <v>407</v>
      </c>
      <c r="L398" s="0" t="n">
        <f aca="false">FIND("e",B5)</f>
        <v>1</v>
      </c>
    </row>
    <row r="399" customFormat="false" ht="12.8" hidden="false" customHeight="false" outlineLevel="0" collapsed="false">
      <c r="K399" s="0" t="s">
        <v>408</v>
      </c>
      <c r="L399" s="0" t="n">
        <f aca="false">FIND("e",B5,2)</f>
        <v>4</v>
      </c>
    </row>
    <row r="400" customFormat="false" ht="12.8" hidden="false" customHeight="false" outlineLevel="0" collapsed="false">
      <c r="K400" s="0" t="s">
        <v>409</v>
      </c>
      <c r="L400" s="0" t="n">
        <f aca="false">FIND("na",B2)</f>
        <v>3</v>
      </c>
    </row>
    <row r="401" customFormat="false" ht="12.8" hidden="false" customHeight="false" outlineLevel="0" collapsed="false">
      <c r="K401" s="0" t="s">
        <v>410</v>
      </c>
      <c r="L401" s="0" t="e">
        <f aca="false">FIND("a",B1,0)</f>
        <v>#VALUE!</v>
      </c>
    </row>
    <row r="402" customFormat="false" ht="12.8" hidden="false" customHeight="false" outlineLevel="0" collapsed="false">
      <c r="K402" s="0" t="s">
        <v>411</v>
      </c>
      <c r="L402" s="0" t="e">
        <f aca="false">FIND(H1,"abc")</f>
        <v>#DIV/0!</v>
      </c>
    </row>
    <row r="403" customFormat="false" ht="12.8" hidden="false" customHeight="false" outlineLevel="0" collapsed="false">
      <c r="K403" s="0" t="s">
        <v>412</v>
      </c>
      <c r="L403" s="0" t="e">
        <f aca="false">FIND("0",A1)</f>
        <v>#VALUE!</v>
      </c>
    </row>
    <row r="404" customFormat="false" ht="12.8" hidden="false" customHeight="false" outlineLevel="0" collapsed="false">
      <c r="K404" s="0" t="s">
        <v>413</v>
      </c>
      <c r="L404" s="0" t="n">
        <f aca="false">FIND(1,A1)</f>
        <v>1</v>
      </c>
    </row>
    <row r="405" customFormat="false" ht="12.8" hidden="false" customHeight="false" outlineLevel="0" collapsed="false">
      <c r="K405" s="0" t="s">
        <v>414</v>
      </c>
      <c r="L405" s="0" t="e">
        <f aca="false">FIND("a",D4)</f>
        <v>#VALUE!</v>
      </c>
    </row>
    <row r="406" customFormat="false" ht="12.8" hidden="false" customHeight="false" outlineLevel="0" collapsed="false">
      <c r="K406" s="0" t="s">
        <v>415</v>
      </c>
      <c r="L406" s="0" t="n">
        <f aca="false">FIND("?","a?b")</f>
        <v>2</v>
      </c>
    </row>
    <row r="407" customFormat="false" ht="12.8" hidden="false" customHeight="false" outlineLevel="0" collapsed="false">
      <c r="K407" s="0" t="s">
        <v>416</v>
      </c>
      <c r="L407" s="0" t="str">
        <f aca="false">SUBSTITUTE("banana","a","o")</f>
        <v>bonono</v>
      </c>
    </row>
    <row r="408" customFormat="false" ht="12.8" hidden="false" customHeight="false" outlineLevel="0" collapsed="false">
      <c r="K408" s="0" t="s">
        <v>417</v>
      </c>
      <c r="L408" s="0" t="str">
        <f aca="false">SUBSTITUTE("banana","a","o",2)</f>
        <v>banona</v>
      </c>
    </row>
    <row r="409" customFormat="false" ht="12.8" hidden="false" customHeight="false" outlineLevel="0" collapsed="false">
      <c r="K409" s="0" t="s">
        <v>418</v>
      </c>
      <c r="L409" s="0" t="str">
        <f aca="false">SUBSTITUTE("banana","A","o")</f>
        <v>banana</v>
      </c>
    </row>
    <row r="410" customFormat="false" ht="12.8" hidden="false" customHeight="false" outlineLevel="0" collapsed="false">
      <c r="K410" s="0" t="s">
        <v>419</v>
      </c>
      <c r="L410" s="0" t="str">
        <f aca="false">SUBSTITUTE(B2,"an","")</f>
        <v>ba</v>
      </c>
    </row>
    <row r="411" customFormat="false" ht="12.8" hidden="false" customHeight="false" outlineLevel="0" collapsed="false">
      <c r="K411" s="0" t="s">
        <v>420</v>
      </c>
      <c r="L411" s="0" t="str">
        <f aca="false">SUBSTITUTE(B1,"p","pp")</f>
        <v>apppple</v>
      </c>
    </row>
    <row r="412" customFormat="false" ht="12.8" hidden="false" customHeight="false" outlineLevel="0" collapsed="false">
      <c r="K412" s="0" t="s">
        <v>421</v>
      </c>
      <c r="L412" s="0" t="e">
        <f aca="false">SUBSTITUTE(H1,"a","b")</f>
        <v>#DIV/0!</v>
      </c>
    </row>
    <row r="413" customFormat="false" ht="12.8" hidden="false" customHeight="false" outlineLevel="0" collapsed="false">
      <c r="K413" s="0" t="s">
        <v>422</v>
      </c>
      <c r="L413" s="0" t="str">
        <f aca="false">SUBSTITUTE(A1,1,2)</f>
        <v>2</v>
      </c>
    </row>
    <row r="414" customFormat="false" ht="12.8" hidden="false" customHeight="false" outlineLevel="0" collapsed="false">
      <c r="K414" s="0" t="s">
        <v>423</v>
      </c>
      <c r="L414" s="0" t="str">
        <f aca="false">SUBSTITUTE(B1,"","x")</f>
        <v>apple</v>
      </c>
    </row>
    <row r="415" customFormat="false" ht="12.8" hidden="false" customHeight="false" outlineLevel="0" collapsed="false">
      <c r="K415" s="0" t="s">
        <v>424</v>
      </c>
      <c r="L415" s="0" t="str">
        <f aca="false">SUBSTITUTE(D4,"a","b")</f>
        <v/>
      </c>
    </row>
    <row r="416" customFormat="false" ht="12.8" hidden="false" customHeight="false" outlineLevel="0" collapsed="false">
      <c r="K416" s="0" t="s">
        <v>425</v>
      </c>
      <c r="L416" s="0" t="str">
        <f aca="false">SUBSTITUTE("aaa","a","b",4)</f>
        <v>aaa</v>
      </c>
    </row>
    <row r="417" customFormat="false" ht="12.8" hidden="false" customHeight="false" outlineLevel="0" collapsed="false">
      <c r="K417" s="0" t="s">
        <v>426</v>
      </c>
      <c r="L417" s="0" t="str">
        <f aca="false">SUBSTITUTE("abc","b","")</f>
        <v>ac</v>
      </c>
    </row>
    <row r="418" customFormat="false" ht="12.8" hidden="false" customHeight="false" outlineLevel="0" collapsed="false">
      <c r="K418" s="0" t="s">
        <v>427</v>
      </c>
      <c r="L418" s="0" t="e">
        <f aca="false">SUBSTITUTE(B1,"a","x",0)</f>
        <v>#VALUE!</v>
      </c>
    </row>
    <row r="419" customFormat="false" ht="12.8" hidden="false" customHeight="false" outlineLevel="0" collapsed="false">
      <c r="K419" s="0" t="s">
        <v>428</v>
      </c>
      <c r="L419" s="0" t="str">
        <f aca="false">TEXT(1234.5,"0")</f>
        <v>1235</v>
      </c>
    </row>
    <row r="420" customFormat="false" ht="12.8" hidden="false" customHeight="false" outlineLevel="0" collapsed="false">
      <c r="K420" s="0" t="s">
        <v>429</v>
      </c>
      <c r="L420" s="0" t="str">
        <f aca="false">TEXT(1234.567,"0.00")</f>
        <v>1234.57</v>
      </c>
    </row>
    <row r="421" customFormat="false" ht="12.8" hidden="false" customHeight="false" outlineLevel="0" collapsed="false">
      <c r="K421" s="0" t="s">
        <v>430</v>
      </c>
      <c r="L421" s="0" t="str">
        <f aca="false">TEXT(1234567.891,"#,##0")</f>
        <v>1,234,568</v>
      </c>
    </row>
    <row r="422" customFormat="false" ht="12.8" hidden="false" customHeight="false" outlineLevel="0" collapsed="false">
      <c r="K422" s="0" t="s">
        <v>431</v>
      </c>
      <c r="L422" s="0" t="str">
        <f aca="false">TEXT(1234567.891,"#,##0.00")</f>
        <v>1,234,567.89</v>
      </c>
    </row>
    <row r="423" customFormat="false" ht="12.8" hidden="false" customHeight="false" outlineLevel="0" collapsed="false">
      <c r="K423" s="0" t="s">
        <v>432</v>
      </c>
      <c r="L423" s="0" t="str">
        <f aca="false">TEXT(0.256,"0%")</f>
        <v>26%</v>
      </c>
    </row>
    <row r="424" customFormat="false" ht="12.8" hidden="false" customHeight="false" outlineLevel="0" collapsed="false">
      <c r="K424" s="0" t="s">
        <v>433</v>
      </c>
      <c r="L424" s="0" t="str">
        <f aca="false">TEXT(0.256,"0.0%")</f>
        <v>25.6%</v>
      </c>
    </row>
    <row r="425" customFormat="false" ht="12.8" hidden="false" customHeight="false" outlineLevel="0" collapsed="false">
      <c r="K425" s="0" t="s">
        <v>434</v>
      </c>
      <c r="L425" s="0" t="str">
        <f aca="false">TEXT(E1,"yyyy-mm-dd")</f>
        <v>2024-01-15</v>
      </c>
    </row>
    <row r="426" customFormat="false" ht="12.8" hidden="false" customHeight="false" outlineLevel="0" collapsed="false">
      <c r="K426" s="0" t="s">
        <v>435</v>
      </c>
      <c r="L426" s="0" t="str">
        <f aca="false">TEXT(E1,"dd.mm.yyyy")</f>
        <v>15.01.2024</v>
      </c>
    </row>
    <row r="427" customFormat="false" ht="12.8" hidden="false" customHeight="false" outlineLevel="0" collapsed="false">
      <c r="K427" s="0" t="s">
        <v>436</v>
      </c>
      <c r="L427" s="0" t="str">
        <f aca="false">TEXT(E1,"mm/dd/yyyy")</f>
        <v>01/15/2024</v>
      </c>
    </row>
    <row r="428" customFormat="false" ht="12.8" hidden="false" customHeight="false" outlineLevel="0" collapsed="false">
      <c r="K428" s="0" t="s">
        <v>437</v>
      </c>
      <c r="L428" s="0" t="str">
        <f aca="false">TEXT(B1,"@")</f>
        <v>apple</v>
      </c>
    </row>
    <row r="429" customFormat="false" ht="12.8" hidden="false" customHeight="false" outlineLevel="0" collapsed="false">
      <c r="K429" s="0" t="s">
        <v>438</v>
      </c>
      <c r="L429" s="0" t="str">
        <f aca="false">TEXT(A1,"@")</f>
        <v>1</v>
      </c>
    </row>
    <row r="430" customFormat="false" ht="12.8" hidden="false" customHeight="false" outlineLevel="0" collapsed="false">
      <c r="K430" s="0" t="s">
        <v>439</v>
      </c>
      <c r="L430" s="0" t="str">
        <f aca="false">TEXT(-2,"0.00")</f>
        <v>-2.00</v>
      </c>
    </row>
    <row r="431" customFormat="false" ht="12.8" hidden="false" customHeight="false" outlineLevel="0" collapsed="false">
      <c r="K431" s="0" t="s">
        <v>440</v>
      </c>
      <c r="L431" s="0" t="str">
        <f aca="false">TEXT(C2,"#,##0.00")</f>
        <v>-2.00</v>
      </c>
    </row>
    <row r="432" customFormat="false" ht="12.8" hidden="false" customHeight="false" outlineLevel="0" collapsed="false">
      <c r="K432" s="0" t="s">
        <v>441</v>
      </c>
      <c r="L432" s="0" t="str">
        <f aca="false">TEXT(0,"0.00")</f>
        <v>0.00</v>
      </c>
    </row>
    <row r="433" customFormat="false" ht="12.8" hidden="false" customHeight="false" outlineLevel="0" collapsed="false">
      <c r="K433" s="0" t="s">
        <v>442</v>
      </c>
      <c r="L433" s="0" t="e">
        <f aca="false">TEXT(H1,"0")</f>
        <v>#DIV/0!</v>
      </c>
    </row>
    <row r="434" customFormat="false" ht="12.8" hidden="false" customHeight="false" outlineLevel="0" collapsed="false">
      <c r="K434" s="0" t="s">
        <v>443</v>
      </c>
      <c r="L434" s="0" t="str">
        <f aca="false">TEXT(D4,"0")</f>
        <v>0</v>
      </c>
    </row>
    <row r="435" customFormat="false" ht="12.8" hidden="false" customHeight="false" outlineLevel="0" collapsed="false">
      <c r="K435" s="0" t="s">
        <v>444</v>
      </c>
      <c r="L435" s="0" t="str">
        <f aca="false">TEXT(C6,"#,##0")</f>
        <v>1,000,000</v>
      </c>
    </row>
    <row r="436" customFormat="false" ht="12.8" hidden="false" customHeight="false" outlineLevel="0" collapsed="false">
      <c r="K436" s="0" t="s">
        <v>445</v>
      </c>
      <c r="L436" s="0" t="str">
        <f aca="false">TEXT(C1,"0")</f>
        <v>11</v>
      </c>
    </row>
    <row r="437" customFormat="false" ht="12.8" hidden="false" customHeight="false" outlineLevel="0" collapsed="false">
      <c r="K437" s="0" t="s">
        <v>446</v>
      </c>
      <c r="L437" s="0" t="str">
        <f aca="false">TEXT(-1234.5,"#,##0.00")</f>
        <v>-1,234.50</v>
      </c>
    </row>
    <row r="438" customFormat="false" ht="12.8" hidden="false" customHeight="false" outlineLevel="0" collapsed="false">
      <c r="K438" s="0" t="s">
        <v>447</v>
      </c>
      <c r="L438" s="0" t="str">
        <f aca="false">TEXT(E3,"yyyy-mm-dd")</f>
        <v>2024-01-15</v>
      </c>
    </row>
    <row r="439" customFormat="false" ht="12.8" hidden="false" customHeight="false" outlineLevel="0" collapsed="false">
      <c r="K439" s="0" t="s">
        <v>448</v>
      </c>
      <c r="L439" s="0" t="str">
        <f aca="false">TEXT(E2,"dd.mm.yyyy")</f>
        <v>31.12.2024</v>
      </c>
    </row>
    <row r="440" customFormat="false" ht="12.8" hidden="false" customHeight="false" outlineLevel="0" collapsed="false">
      <c r="K440" s="0" t="s">
        <v>449</v>
      </c>
      <c r="L440" s="0" t="str">
        <f aca="false">TEXT(B1,"0")</f>
        <v>apple</v>
      </c>
    </row>
    <row r="441" customFormat="false" ht="12.8" hidden="false" customHeight="false" outlineLevel="0" collapsed="false">
      <c r="K441" s="0" t="s">
        <v>450</v>
      </c>
      <c r="L441" s="0" t="str">
        <f aca="false">TEXT(0.5,"0%")</f>
        <v>50%</v>
      </c>
    </row>
    <row r="442" customFormat="false" ht="12.8" hidden="false" customHeight="false" outlineLevel="0" collapsed="false">
      <c r="K442" s="0" t="s">
        <v>451</v>
      </c>
      <c r="L442" s="0" t="str">
        <f aca="false">TEXT(1,"0.0%")</f>
        <v>100.0%</v>
      </c>
    </row>
    <row r="443" customFormat="false" ht="12.8" hidden="false" customHeight="false" outlineLevel="0" collapsed="false">
      <c r="K443" s="0" t="s">
        <v>452</v>
      </c>
      <c r="L443" s="0" t="str">
        <f aca="false">TEXT(E4,"0.0%")</f>
        <v>50.0%</v>
      </c>
    </row>
    <row r="444" customFormat="false" ht="12.8" hidden="false" customHeight="false" outlineLevel="0" collapsed="false">
      <c r="K444" s="0" t="s">
        <v>453</v>
      </c>
      <c r="L444" s="0" t="str">
        <f aca="false">TEXT(D5,"0.00")</f>
        <v>42.00</v>
      </c>
    </row>
    <row r="445" customFormat="false" ht="12.8" hidden="false" customHeight="false" outlineLevel="0" collapsed="false">
      <c r="K445" s="0" t="s">
        <v>454</v>
      </c>
      <c r="L445" s="0" t="str">
        <f aca="false">TEXT(0.005,"0.00")</f>
        <v>0.01</v>
      </c>
    </row>
    <row r="446" customFormat="false" ht="12.8" hidden="false" customHeight="false" outlineLevel="0" collapsed="false">
      <c r="K446" s="0" t="s">
        <v>455</v>
      </c>
      <c r="L446" s="0" t="str">
        <f aca="false">TEXT(999.995,"0.00")</f>
        <v>1000.00</v>
      </c>
    </row>
    <row r="447" customFormat="false" ht="12.8" hidden="false" customHeight="false" outlineLevel="0" collapsed="false">
      <c r="K447" s="0" t="s">
        <v>456</v>
      </c>
      <c r="L447" s="0" t="n">
        <f aca="false">VALUE("123")</f>
        <v>123</v>
      </c>
    </row>
    <row r="448" customFormat="false" ht="12.8" hidden="false" customHeight="false" outlineLevel="0" collapsed="false">
      <c r="K448" s="0" t="s">
        <v>457</v>
      </c>
      <c r="L448" s="0" t="n">
        <f aca="false">VALUE("1.5")</f>
        <v>1.5</v>
      </c>
    </row>
    <row r="449" customFormat="false" ht="12.8" hidden="false" customHeight="false" outlineLevel="0" collapsed="false">
      <c r="K449" s="0" t="s">
        <v>458</v>
      </c>
      <c r="L449" s="0" t="e">
        <f aca="false">VALUE("abc")</f>
        <v>#VALUE!</v>
      </c>
    </row>
    <row r="450" customFormat="false" ht="12.8" hidden="false" customHeight="false" outlineLevel="0" collapsed="false">
      <c r="K450" s="0" t="s">
        <v>459</v>
      </c>
      <c r="L450" s="0" t="e">
        <f aca="false">VALUE("")</f>
        <v>#VALUE!</v>
      </c>
    </row>
    <row r="451" customFormat="false" ht="12.8" hidden="false" customHeight="false" outlineLevel="0" collapsed="false">
      <c r="K451" s="0" t="s">
        <v>460</v>
      </c>
      <c r="L451" s="0" t="n">
        <f aca="false">VALUE(D5)</f>
        <v>42</v>
      </c>
    </row>
    <row r="452" customFormat="false" ht="12.8" hidden="false" customHeight="false" outlineLevel="0" collapsed="false">
      <c r="K452" s="0" t="s">
        <v>461</v>
      </c>
      <c r="L452" s="0" t="n">
        <f aca="false">VALUE(A1)</f>
        <v>1</v>
      </c>
    </row>
    <row r="453" customFormat="false" ht="12.8" hidden="false" customHeight="false" outlineLevel="0" collapsed="false">
      <c r="K453" s="0" t="s">
        <v>462</v>
      </c>
      <c r="L453" s="0" t="n">
        <f aca="false">VALUE(D4)</f>
        <v>0</v>
      </c>
    </row>
    <row r="454" customFormat="false" ht="12.8" hidden="false" customHeight="false" outlineLevel="0" collapsed="false">
      <c r="K454" s="0" t="s">
        <v>463</v>
      </c>
      <c r="L454" s="0" t="e">
        <f aca="false">VALUE(H1)</f>
        <v>#DIV/0!</v>
      </c>
    </row>
    <row r="455" customFormat="false" ht="12.8" hidden="false" customHeight="false" outlineLevel="0" collapsed="false">
      <c r="K455" s="0" t="s">
        <v>464</v>
      </c>
      <c r="L455" s="0" t="n">
        <f aca="false">VALUE(" 12 ")</f>
        <v>12</v>
      </c>
    </row>
    <row r="456" customFormat="false" ht="12.8" hidden="false" customHeight="false" outlineLevel="0" collapsed="false">
      <c r="K456" s="0" t="s">
        <v>465</v>
      </c>
      <c r="L456" s="0" t="n">
        <f aca="false">VALUE("1e3")</f>
        <v>1000</v>
      </c>
    </row>
    <row r="457" customFormat="false" ht="12.8" hidden="false" customHeight="false" outlineLevel="0" collapsed="false">
      <c r="K457" s="0" t="s">
        <v>466</v>
      </c>
      <c r="L457" s="0" t="n">
        <f aca="false">VALUE("50%")</f>
        <v>0.5</v>
      </c>
    </row>
    <row r="458" customFormat="false" ht="12.8" hidden="false" customHeight="false" outlineLevel="0" collapsed="false">
      <c r="K458" s="0" t="s">
        <v>467</v>
      </c>
      <c r="L458" s="0" t="n">
        <f aca="false">VALUE("-7")</f>
        <v>-7</v>
      </c>
    </row>
    <row r="459" customFormat="false" ht="12.8" hidden="false" customHeight="false" outlineLevel="0" collapsed="false">
      <c r="K459" s="0" t="s">
        <v>468</v>
      </c>
      <c r="L459" s="1" t="b">
        <f aca="false">VALUE(TRUE())</f>
        <v>1</v>
      </c>
    </row>
    <row r="460" customFormat="false" ht="12.8" hidden="false" customHeight="false" outlineLevel="0" collapsed="false">
      <c r="K460" s="0" t="s">
        <v>469</v>
      </c>
      <c r="L460" s="0" t="n">
        <f aca="false">VALUE("2024-01-15")</f>
        <v>45306</v>
      </c>
    </row>
    <row r="461" customFormat="false" ht="12.8" hidden="false" customHeight="false" outlineLevel="0" collapsed="false">
      <c r="K461" s="0" t="s">
        <v>470</v>
      </c>
      <c r="L461" s="0" t="e">
        <f aca="false">VALUE(B1)</f>
        <v>#VALUE!</v>
      </c>
    </row>
    <row r="462" customFormat="false" ht="12.8" hidden="false" customHeight="false" outlineLevel="0" collapsed="false">
      <c r="K462" s="0" t="s">
        <v>471</v>
      </c>
      <c r="L462" s="1" t="b">
        <f aca="false">EXACT("a","a")</f>
        <v>1</v>
      </c>
    </row>
    <row r="463" customFormat="false" ht="12.8" hidden="false" customHeight="false" outlineLevel="0" collapsed="false">
      <c r="K463" s="0" t="s">
        <v>472</v>
      </c>
      <c r="L463" s="1" t="b">
        <f aca="false">EXACT("a","A")</f>
        <v>0</v>
      </c>
    </row>
    <row r="464" customFormat="false" ht="12.8" hidden="false" customHeight="false" outlineLevel="0" collapsed="false">
      <c r="K464" s="0" t="s">
        <v>473</v>
      </c>
      <c r="L464" s="1" t="b">
        <f aca="false">EXACT(B1,"apple")</f>
        <v>1</v>
      </c>
    </row>
    <row r="465" customFormat="false" ht="12.8" hidden="false" customHeight="false" outlineLevel="0" collapsed="false">
      <c r="K465" s="0" t="s">
        <v>474</v>
      </c>
      <c r="L465" s="1" t="b">
        <f aca="false">EXACT(A1,1)</f>
        <v>1</v>
      </c>
    </row>
    <row r="466" customFormat="false" ht="12.8" hidden="false" customHeight="false" outlineLevel="0" collapsed="false">
      <c r="K466" s="0" t="s">
        <v>475</v>
      </c>
      <c r="L466" s="1" t="b">
        <f aca="false">EXACT(D4,"")</f>
        <v>1</v>
      </c>
    </row>
    <row r="467" customFormat="false" ht="12.8" hidden="false" customHeight="false" outlineLevel="0" collapsed="false">
      <c r="K467" s="0" t="s">
        <v>476</v>
      </c>
      <c r="L467" s="1" t="b">
        <f aca="false">EXACT(D3,D4)</f>
        <v>1</v>
      </c>
    </row>
    <row r="468" customFormat="false" ht="12.8" hidden="false" customHeight="false" outlineLevel="0" collapsed="false">
      <c r="K468" s="0" t="s">
        <v>477</v>
      </c>
      <c r="L468" s="1" t="e">
        <f aca="false">EXACT(H1,"a")</f>
        <v>#DIV/0!</v>
      </c>
    </row>
    <row r="469" customFormat="false" ht="12.8" hidden="false" customHeight="false" outlineLevel="0" collapsed="false">
      <c r="K469" s="0" t="s">
        <v>478</v>
      </c>
      <c r="L469" s="1" t="b">
        <f aca="false">EXACT(B1,B2)</f>
        <v>0</v>
      </c>
    </row>
    <row r="470" customFormat="false" ht="12.8" hidden="false" customHeight="false" outlineLevel="0" collapsed="false">
      <c r="K470" s="0" t="s">
        <v>479</v>
      </c>
      <c r="L470" s="1" t="b">
        <f aca="false">EXACT(D5,42)</f>
        <v>1</v>
      </c>
    </row>
    <row r="471" customFormat="false" ht="12.8" hidden="false" customHeight="false" outlineLevel="0" collapsed="false">
      <c r="K471" s="0" t="s">
        <v>480</v>
      </c>
      <c r="L471" s="1" t="b">
        <f aca="false">EXACT("a ","a")</f>
        <v>0</v>
      </c>
    </row>
    <row r="472" customFormat="false" ht="12.8" hidden="false" customHeight="false" outlineLevel="0" collapsed="false">
      <c r="K472" s="0" t="s">
        <v>481</v>
      </c>
      <c r="L472" s="0" t="str">
        <f aca="false">VLOOKUP(200,F1:G4,2,FALSE())</f>
        <v>two hundred</v>
      </c>
    </row>
    <row r="473" customFormat="false" ht="12.8" hidden="false" customHeight="false" outlineLevel="0" collapsed="false">
      <c r="K473" s="0" t="s">
        <v>482</v>
      </c>
      <c r="L473" s="0" t="str">
        <f aca="false">VLOOKUP(200,F1:G4,2)</f>
        <v>two hundred</v>
      </c>
    </row>
    <row r="474" customFormat="false" ht="12.8" hidden="false" customHeight="false" outlineLevel="0" collapsed="false">
      <c r="K474" s="0" t="s">
        <v>483</v>
      </c>
      <c r="L474" s="0" t="str">
        <f aca="false">VLOOKUP(250,F1:G4,2,TRUE())</f>
        <v>two hundred</v>
      </c>
    </row>
    <row r="475" customFormat="false" ht="12.8" hidden="false" customHeight="false" outlineLevel="0" collapsed="false">
      <c r="K475" s="0" t="s">
        <v>484</v>
      </c>
      <c r="L475" s="0" t="e">
        <f aca="false">VLOOKUP(50,F1:G4,2,TRUE())</f>
        <v>#N/A</v>
      </c>
    </row>
    <row r="476" customFormat="false" ht="12.8" hidden="false" customHeight="false" outlineLevel="0" collapsed="false">
      <c r="K476" s="0" t="s">
        <v>485</v>
      </c>
      <c r="L476" s="0" t="e">
        <f aca="false">VLOOKUP(999,F1:G4,2,FALSE())</f>
        <v>#N/A</v>
      </c>
    </row>
    <row r="477" customFormat="false" ht="12.8" hidden="false" customHeight="false" outlineLevel="0" collapsed="false">
      <c r="K477" s="0" t="s">
        <v>486</v>
      </c>
      <c r="L477" s="0" t="str">
        <f aca="false">VLOOKUP(500,F1:G4,2,TRUE())</f>
        <v>four hundred</v>
      </c>
    </row>
    <row r="478" customFormat="false" ht="12.8" hidden="false" customHeight="false" outlineLevel="0" collapsed="false">
      <c r="K478" s="0" t="s">
        <v>487</v>
      </c>
      <c r="L478" s="0" t="n">
        <f aca="false">VLOOKUP(100,F1:G4,1,FALSE())</f>
        <v>100</v>
      </c>
    </row>
    <row r="479" customFormat="false" ht="12.8" hidden="false" customHeight="false" outlineLevel="0" collapsed="false">
      <c r="K479" s="0" t="s">
        <v>488</v>
      </c>
      <c r="L479" s="0" t="e">
        <f aca="false">VLOOKUP(100,F1:G4,3,FALSE())</f>
        <v>#VALUE!</v>
      </c>
    </row>
    <row r="480" customFormat="false" ht="12.8" hidden="false" customHeight="false" outlineLevel="0" collapsed="false">
      <c r="K480" s="0" t="s">
        <v>489</v>
      </c>
      <c r="L480" s="0" t="e">
        <f aca="false">VLOOKUP(100,F1:G4,0,FALSE())</f>
        <v>#VALUE!</v>
      </c>
    </row>
    <row r="481" customFormat="false" ht="12.8" hidden="false" customHeight="false" outlineLevel="0" collapsed="false">
      <c r="K481" s="0" t="s">
        <v>490</v>
      </c>
      <c r="L481" s="0" t="e">
        <f aca="false">VLOOKUP(H1,F1:G4,2,FALSE())</f>
        <v>#DIV/0!</v>
      </c>
    </row>
    <row r="482" customFormat="false" ht="12.8" hidden="false" customHeight="false" outlineLevel="0" collapsed="false">
      <c r="K482" s="0" t="s">
        <v>491</v>
      </c>
      <c r="L482" s="0" t="n">
        <f aca="false">VLOOKUP("apple",B1:C6,2,FALSE())</f>
        <v>10.5</v>
      </c>
    </row>
    <row r="483" customFormat="false" ht="12.8" hidden="false" customHeight="false" outlineLevel="0" collapsed="false">
      <c r="K483" s="0" t="s">
        <v>492</v>
      </c>
      <c r="L483" s="0" t="n">
        <f aca="false">VLOOKUP("APPLE",B1:C6,2,FALSE())</f>
        <v>10.5</v>
      </c>
    </row>
    <row r="484" customFormat="false" ht="12.8" hidden="false" customHeight="false" outlineLevel="0" collapsed="false">
      <c r="K484" s="0" t="s">
        <v>493</v>
      </c>
      <c r="L484" s="0" t="n">
        <f aca="false">VLOOKUP("fi*",B1:C6,2,FALSE())</f>
        <v>1000000</v>
      </c>
    </row>
    <row r="485" customFormat="false" ht="12.8" hidden="false" customHeight="false" outlineLevel="0" collapsed="false">
      <c r="K485" s="0" t="s">
        <v>494</v>
      </c>
      <c r="L485" s="0" t="n">
        <f aca="false">VLOOKUP(3,A1:C6,3,FALSE())</f>
        <v>0</v>
      </c>
    </row>
    <row r="486" customFormat="false" ht="12.8" hidden="false" customHeight="false" outlineLevel="0" collapsed="false">
      <c r="K486" s="0" t="s">
        <v>495</v>
      </c>
      <c r="L486" s="0" t="n">
        <f aca="false">VLOOKUP("3",A1:A6,1,FALSE())</f>
        <v>3</v>
      </c>
    </row>
    <row r="487" customFormat="false" ht="12.8" hidden="false" customHeight="false" outlineLevel="0" collapsed="false">
      <c r="K487" s="0" t="s">
        <v>496</v>
      </c>
      <c r="L487" s="0" t="e">
        <f aca="false">VLOOKUP(D4,F1:G4,2,FALSE())</f>
        <v>#N/A</v>
      </c>
    </row>
    <row r="488" customFormat="false" ht="12.8" hidden="false" customHeight="false" outlineLevel="0" collapsed="false">
      <c r="K488" s="0" t="s">
        <v>497</v>
      </c>
      <c r="L488" s="0" t="str">
        <f aca="false">VLOOKUP(300,F1:G4,2,0)</f>
        <v>three hundred</v>
      </c>
    </row>
    <row r="489" customFormat="false" ht="12.8" hidden="false" customHeight="false" outlineLevel="0" collapsed="false">
      <c r="K489" s="0" t="s">
        <v>498</v>
      </c>
      <c r="L489" s="0" t="n">
        <f aca="false">HLOOKUP(1,A1:F6,2,FALSE())</f>
        <v>2</v>
      </c>
    </row>
    <row r="490" customFormat="false" ht="12.8" hidden="false" customHeight="false" outlineLevel="0" collapsed="false">
      <c r="K490" s="0" t="s">
        <v>499</v>
      </c>
      <c r="L490" s="0" t="str">
        <f aca="false">HLOOKUP("apple",A1:F6,3,FALSE())</f>
        <v>cherry</v>
      </c>
    </row>
    <row r="491" customFormat="false" ht="12.8" hidden="false" customHeight="false" outlineLevel="0" collapsed="false">
      <c r="K491" s="0" t="s">
        <v>500</v>
      </c>
      <c r="L491" s="0" t="n">
        <f aca="false">HLOOKUP(TRUE(),A1:F6,2,FALSE())</f>
        <v>2</v>
      </c>
    </row>
    <row r="492" customFormat="false" ht="12.8" hidden="false" customHeight="false" outlineLevel="0" collapsed="false">
      <c r="K492" s="0" t="s">
        <v>501</v>
      </c>
      <c r="L492" s="0" t="n">
        <f aca="false">HLOOKUP(45306,A1:F6,2,FALSE())</f>
        <v>45657</v>
      </c>
    </row>
    <row r="493" customFormat="false" ht="12.8" hidden="false" customHeight="false" outlineLevel="0" collapsed="false">
      <c r="K493" s="0" t="s">
        <v>502</v>
      </c>
      <c r="L493" s="0" t="n">
        <f aca="false">HLOOKUP(100,A1:F6,4,FALSE())</f>
        <v>400</v>
      </c>
    </row>
    <row r="494" customFormat="false" ht="12.8" hidden="false" customHeight="false" outlineLevel="0" collapsed="false">
      <c r="K494" s="0" t="s">
        <v>503</v>
      </c>
      <c r="L494" s="0" t="e">
        <f aca="false">HLOOKUP(999,A1:F6,2,FALSE())</f>
        <v>#N/A</v>
      </c>
    </row>
    <row r="495" customFormat="false" ht="12.8" hidden="false" customHeight="false" outlineLevel="0" collapsed="false">
      <c r="K495" s="0" t="s">
        <v>504</v>
      </c>
      <c r="L495" s="0" t="e">
        <f aca="false">HLOOKUP(1,A1:F6,7,FALSE())</f>
        <v>#VALUE!</v>
      </c>
    </row>
    <row r="496" customFormat="false" ht="12.8" hidden="false" customHeight="false" outlineLevel="0" collapsed="false">
      <c r="K496" s="0" t="s">
        <v>505</v>
      </c>
      <c r="L496" s="0" t="e">
        <f aca="false">HLOOKUP(H1,A1:F6,2,FALSE())</f>
        <v>#DIV/0!</v>
      </c>
    </row>
    <row r="497" customFormat="false" ht="12.8" hidden="false" customHeight="false" outlineLevel="0" collapsed="false">
      <c r="K497" s="0" t="s">
        <v>506</v>
      </c>
      <c r="L497" s="0" t="e">
        <f aca="false">HLOOKUP(1,A1:F6,0,FALSE())</f>
        <v>#VALUE!</v>
      </c>
    </row>
    <row r="498" customFormat="false" ht="12.8" hidden="false" customHeight="false" outlineLevel="0" collapsed="false">
      <c r="K498" s="0" t="s">
        <v>507</v>
      </c>
      <c r="L498" s="0" t="n">
        <f aca="false">HLOOKUP(10.5,A1:F6,2,FALSE())</f>
        <v>-2</v>
      </c>
    </row>
    <row r="499" customFormat="false" ht="12.8" hidden="false" customHeight="false" outlineLevel="0" collapsed="false">
      <c r="K499" s="0" t="s">
        <v>508</v>
      </c>
      <c r="L499" s="0" t="str">
        <f aca="false">HLOOKUP("APPLE",A1:F6,5,FALSE())</f>
        <v>elderberry</v>
      </c>
    </row>
    <row r="500" customFormat="false" ht="12.8" hidden="false" customHeight="false" outlineLevel="0" collapsed="false">
      <c r="K500" s="0" t="s">
        <v>509</v>
      </c>
      <c r="L500" s="0" t="n">
        <f aca="false">HLOOKUP(1,A1:F6,1,FALSE())</f>
        <v>1</v>
      </c>
    </row>
    <row r="501" customFormat="false" ht="12.8" hidden="false" customHeight="false" outlineLevel="0" collapsed="false">
      <c r="K501" s="0" t="s">
        <v>510</v>
      </c>
      <c r="L501" s="0" t="n">
        <f aca="false">INDEX(A1:A6,3)</f>
        <v>3</v>
      </c>
    </row>
    <row r="502" customFormat="false" ht="12.8" hidden="false" customHeight="false" outlineLevel="0" collapsed="false">
      <c r="K502" s="0" t="s">
        <v>511</v>
      </c>
      <c r="L502" s="0" t="str">
        <f aca="false">INDEX(A1:C6,2,2)</f>
        <v>banana</v>
      </c>
    </row>
    <row r="503" customFormat="false" ht="12.8" hidden="false" customHeight="false" outlineLevel="0" collapsed="false">
      <c r="K503" s="0" t="s">
        <v>512</v>
      </c>
      <c r="L503" s="0" t="n">
        <f aca="false">INDEX(A1:C6,6,3)</f>
        <v>1000000</v>
      </c>
    </row>
    <row r="504" customFormat="false" ht="12.8" hidden="false" customHeight="false" outlineLevel="0" collapsed="false">
      <c r="K504" s="0" t="s">
        <v>513</v>
      </c>
      <c r="L504" s="0" t="e">
        <f aca="false">INDEX(A1:A6,10)</f>
        <v>#REF!</v>
      </c>
    </row>
    <row r="505" customFormat="false" ht="12.8" hidden="false" customHeight="false" outlineLevel="0" collapsed="false">
      <c r="K505" s="0" t="s">
        <v>514</v>
      </c>
      <c r="L505" s="0" t="e">
        <f aca="false">INDEX(A1:C6,2,5)</f>
        <v>#REF!</v>
      </c>
    </row>
    <row r="506" customFormat="false" ht="12.8" hidden="false" customHeight="false" outlineLevel="0" collapsed="false">
      <c r="K506" s="0" t="s">
        <v>515</v>
      </c>
      <c r="L506" s="0" t="n">
        <f aca="false">INDEX(D1:D6,4)</f>
        <v>0</v>
      </c>
    </row>
    <row r="507" customFormat="false" ht="12.8" hidden="false" customHeight="false" outlineLevel="0" collapsed="false">
      <c r="K507" s="0" t="s">
        <v>516</v>
      </c>
      <c r="L507" s="0" t="e">
        <f aca="false">INDEX(H1:H2,1)</f>
        <v>#DIV/0!</v>
      </c>
    </row>
    <row r="508" customFormat="false" ht="12.8" hidden="false" customHeight="false" outlineLevel="0" collapsed="false">
      <c r="K508" s="0" t="s">
        <v>517</v>
      </c>
      <c r="L508" s="0" t="e">
        <f aca="false">INDEX(A1:A6,H1)</f>
        <v>#DIV/0!</v>
      </c>
    </row>
    <row r="509" customFormat="false" ht="12.8" hidden="false" customHeight="false" outlineLevel="0" collapsed="false">
      <c r="K509" s="0" t="s">
        <v>518</v>
      </c>
      <c r="L509" s="0" t="e">
        <f aca="false">INDEX(A1:A6,-1)</f>
        <v>#VALUE!</v>
      </c>
    </row>
    <row r="510" customFormat="false" ht="12.8" hidden="false" customHeight="false" outlineLevel="0" collapsed="false">
      <c r="K510" s="0" t="s">
        <v>519</v>
      </c>
      <c r="L510" s="0" t="str">
        <f aca="false">INDEX(F1:G4,3,2)</f>
        <v>three hundred</v>
      </c>
    </row>
    <row r="511" customFormat="false" ht="12.8" hidden="false" customHeight="false" outlineLevel="0" collapsed="false">
      <c r="K511" s="0" t="s">
        <v>520</v>
      </c>
      <c r="L511" s="2" t="n">
        <f aca="false">INDEX(A1:F1,5)</f>
        <v>45306</v>
      </c>
    </row>
    <row r="512" customFormat="false" ht="12.8" hidden="false" customHeight="false" outlineLevel="0" collapsed="false">
      <c r="K512" s="0" t="s">
        <v>521</v>
      </c>
      <c r="L512" s="0" t="str">
        <f aca="false">INDEX(B1:B6,"2")</f>
        <v>banana</v>
      </c>
    </row>
    <row r="513" customFormat="false" ht="12.8" hidden="false" customHeight="false" outlineLevel="0" collapsed="false">
      <c r="K513" s="0" t="s">
        <v>522</v>
      </c>
      <c r="L513" s="0" t="n">
        <f aca="false">INDEX(A1:A6,2.9)</f>
        <v>2</v>
      </c>
    </row>
    <row r="514" customFormat="false" ht="12.8" hidden="false" customHeight="false" outlineLevel="0" collapsed="false">
      <c r="K514" s="0" t="s">
        <v>523</v>
      </c>
      <c r="L514" s="0" t="n">
        <f aca="false">INDEX(A1:C6,1,1)</f>
        <v>1</v>
      </c>
    </row>
    <row r="515" customFormat="false" ht="12.8" hidden="false" customHeight="false" outlineLevel="0" collapsed="false">
      <c r="K515" s="0" t="s">
        <v>524</v>
      </c>
      <c r="L515" s="0" t="n">
        <f aca="false">MATCH(3,A1:A6,0)</f>
        <v>3</v>
      </c>
    </row>
    <row r="516" customFormat="false" ht="12.8" hidden="false" customHeight="false" outlineLevel="0" collapsed="false">
      <c r="K516" s="0" t="s">
        <v>525</v>
      </c>
      <c r="L516" s="0" t="n">
        <f aca="false">MATCH(3.5,A1:A6,1)</f>
        <v>3</v>
      </c>
    </row>
    <row r="517" customFormat="false" ht="12.8" hidden="false" customHeight="false" outlineLevel="0" collapsed="false">
      <c r="K517" s="0" t="s">
        <v>526</v>
      </c>
      <c r="L517" s="0" t="n">
        <f aca="false">MATCH("cherry",B1:B6,0)</f>
        <v>3</v>
      </c>
    </row>
    <row r="518" customFormat="false" ht="12.8" hidden="false" customHeight="false" outlineLevel="0" collapsed="false">
      <c r="K518" s="0" t="s">
        <v>527</v>
      </c>
      <c r="L518" s="0" t="n">
        <f aca="false">MATCH("CHERRY",B1:B6,0)</f>
        <v>3</v>
      </c>
    </row>
    <row r="519" customFormat="false" ht="12.8" hidden="false" customHeight="false" outlineLevel="0" collapsed="false">
      <c r="K519" s="0" t="s">
        <v>528</v>
      </c>
      <c r="L519" s="0" t="e">
        <f aca="false">MATCH("zzz",B1:B6,0)</f>
        <v>#N/A</v>
      </c>
    </row>
    <row r="520" customFormat="false" ht="12.8" hidden="false" customHeight="false" outlineLevel="0" collapsed="false">
      <c r="K520" s="0" t="s">
        <v>529</v>
      </c>
      <c r="L520" s="0" t="n">
        <f aca="false">MATCH("c*",B1:B6,0)</f>
        <v>3</v>
      </c>
    </row>
    <row r="521" customFormat="false" ht="12.8" hidden="false" customHeight="false" outlineLevel="0" collapsed="false">
      <c r="K521" s="0" t="s">
        <v>530</v>
      </c>
      <c r="L521" s="0" t="e">
        <f aca="false">MATCH(0,A1:A6,1)</f>
        <v>#N/A</v>
      </c>
    </row>
    <row r="522" customFormat="false" ht="12.8" hidden="false" customHeight="false" outlineLevel="0" collapsed="false">
      <c r="K522" s="0" t="s">
        <v>531</v>
      </c>
      <c r="L522" s="0" t="n">
        <f aca="false">MATCH(100,F1:F4,0)</f>
        <v>1</v>
      </c>
    </row>
    <row r="523" customFormat="false" ht="12.8" hidden="false" customHeight="false" outlineLevel="0" collapsed="false">
      <c r="K523" s="0" t="s">
        <v>532</v>
      </c>
      <c r="L523" s="0" t="n">
        <f aca="false">MATCH(250,F1:F4,1)</f>
        <v>2</v>
      </c>
    </row>
    <row r="524" customFormat="false" ht="12.8" hidden="false" customHeight="false" outlineLevel="0" collapsed="false">
      <c r="K524" s="0" t="s">
        <v>533</v>
      </c>
      <c r="L524" s="0" t="n">
        <f aca="false">MATCH(500,F1:F4,1)</f>
        <v>4</v>
      </c>
    </row>
    <row r="525" customFormat="false" ht="12.8" hidden="false" customHeight="false" outlineLevel="0" collapsed="false">
      <c r="K525" s="0" t="s">
        <v>534</v>
      </c>
      <c r="L525" s="0" t="n">
        <f aca="false">MATCH(300,F1:F4)</f>
        <v>3</v>
      </c>
    </row>
    <row r="526" customFormat="false" ht="12.8" hidden="false" customHeight="false" outlineLevel="0" collapsed="false">
      <c r="K526" s="0" t="s">
        <v>535</v>
      </c>
      <c r="L526" s="0" t="e">
        <f aca="false">MATCH(H1,A1:A6,0)</f>
        <v>#DIV/0!</v>
      </c>
    </row>
    <row r="527" customFormat="false" ht="12.8" hidden="false" customHeight="false" outlineLevel="0" collapsed="false">
      <c r="K527" s="0" t="s">
        <v>536</v>
      </c>
      <c r="L527" s="0" t="e">
        <f aca="false">MATCH(D4,A1:A6,0)</f>
        <v>#N/A</v>
      </c>
    </row>
    <row r="528" customFormat="false" ht="12.8" hidden="false" customHeight="false" outlineLevel="0" collapsed="false">
      <c r="K528" s="0" t="s">
        <v>537</v>
      </c>
      <c r="L528" s="0" t="n">
        <f aca="false">MATCH(TRUE(),D1:D6,0)</f>
        <v>1</v>
      </c>
    </row>
    <row r="529" customFormat="false" ht="12.8" hidden="false" customHeight="false" outlineLevel="0" collapsed="false">
      <c r="K529" s="0" t="s">
        <v>538</v>
      </c>
      <c r="L529" s="0" t="n">
        <f aca="false">MATCH(FALSE(),D1:D6,0)</f>
        <v>2</v>
      </c>
    </row>
    <row r="530" customFormat="false" ht="12.8" hidden="false" customHeight="false" outlineLevel="0" collapsed="false">
      <c r="K530" s="0" t="s">
        <v>539</v>
      </c>
      <c r="L530" s="0" t="n">
        <f aca="false">MATCH("fig",B1:B6,0)</f>
        <v>6</v>
      </c>
    </row>
    <row r="531" customFormat="false" ht="12.8" hidden="false" customHeight="false" outlineLevel="0" collapsed="false">
      <c r="K531" s="0" t="s">
        <v>540</v>
      </c>
      <c r="L531" s="0" t="n">
        <f aca="false">MATCH("",D1:D6,0)</f>
        <v>3</v>
      </c>
    </row>
    <row r="532" customFormat="false" ht="12.8" hidden="false" customHeight="false" outlineLevel="0" collapsed="false">
      <c r="K532" s="0" t="s">
        <v>541</v>
      </c>
      <c r="L532" s="0" t="str">
        <f aca="false">CHOOSE(1,"a","b","c")</f>
        <v>a</v>
      </c>
    </row>
    <row r="533" customFormat="false" ht="12.8" hidden="false" customHeight="false" outlineLevel="0" collapsed="false">
      <c r="K533" s="0" t="s">
        <v>542</v>
      </c>
      <c r="L533" s="0" t="str">
        <f aca="false">CHOOSE(3,"a","b","c")</f>
        <v>c</v>
      </c>
    </row>
    <row r="534" customFormat="false" ht="12.8" hidden="false" customHeight="false" outlineLevel="0" collapsed="false">
      <c r="K534" s="0" t="s">
        <v>543</v>
      </c>
      <c r="L534" s="0" t="str">
        <f aca="false">CHOOSE(2.9,"a","b","c")</f>
        <v>b</v>
      </c>
    </row>
    <row r="535" customFormat="false" ht="12.8" hidden="false" customHeight="false" outlineLevel="0" collapsed="false">
      <c r="K535" s="0" t="s">
        <v>544</v>
      </c>
      <c r="L535" s="0" t="e">
        <f aca="false">CHOOSE(0,"a","b")</f>
        <v>#VALUE!</v>
      </c>
    </row>
    <row r="536" customFormat="false" ht="12.8" hidden="false" customHeight="false" outlineLevel="0" collapsed="false">
      <c r="K536" s="0" t="s">
        <v>545</v>
      </c>
      <c r="L536" s="0" t="e">
        <f aca="false">CHOOSE(4,"a","b","c")</f>
        <v>#VALUE!</v>
      </c>
    </row>
    <row r="537" customFormat="false" ht="12.8" hidden="false" customHeight="false" outlineLevel="0" collapsed="false">
      <c r="K537" s="0" t="s">
        <v>546</v>
      </c>
      <c r="L537" s="0" t="str">
        <f aca="false">CHOOSE(A2,B1,B2,B3)</f>
        <v>banana</v>
      </c>
    </row>
    <row r="538" customFormat="false" ht="12.8" hidden="false" customHeight="false" outlineLevel="0" collapsed="false">
      <c r="K538" s="0" t="s">
        <v>547</v>
      </c>
      <c r="L538" s="0" t="e">
        <f aca="false">CHOOSE(H1,1,2)</f>
        <v>#DIV/0!</v>
      </c>
    </row>
    <row r="539" customFormat="false" ht="12.8" hidden="false" customHeight="false" outlineLevel="0" collapsed="false">
      <c r="K539" s="0" t="s">
        <v>548</v>
      </c>
      <c r="L539" s="0" t="e">
        <f aca="false">CHOOSE(2,1,1/0)</f>
        <v>#DIV/0!</v>
      </c>
    </row>
    <row r="540" customFormat="false" ht="12.8" hidden="false" customHeight="false" outlineLevel="0" collapsed="false">
      <c r="K540" s="0" t="s">
        <v>549</v>
      </c>
      <c r="L540" s="0" t="n">
        <f aca="false">CHOOSE(1,1,1/0)</f>
        <v>1</v>
      </c>
    </row>
    <row r="541" customFormat="false" ht="12.8" hidden="false" customHeight="false" outlineLevel="0" collapsed="false">
      <c r="K541" s="0" t="s">
        <v>550</v>
      </c>
      <c r="L541" s="0" t="str">
        <f aca="false">CHOOSE("2","a","b")</f>
        <v>b</v>
      </c>
    </row>
    <row r="542" customFormat="false" ht="12.8" hidden="false" customHeight="false" outlineLevel="0" collapsed="false">
      <c r="K542" s="0" t="s">
        <v>551</v>
      </c>
      <c r="L542" s="0" t="str">
        <f aca="false">CHOOSE(TRUE(),"a","b")</f>
        <v>a</v>
      </c>
    </row>
    <row r="543" customFormat="false" ht="12.8" hidden="false" customHeight="false" outlineLevel="0" collapsed="false">
      <c r="K543" s="0" t="s">
        <v>552</v>
      </c>
      <c r="L543" s="0" t="n">
        <f aca="false">CHOOSE(2,A1,D4)</f>
        <v>0</v>
      </c>
    </row>
    <row r="544" customFormat="false" ht="12.8" hidden="false" customHeight="false" outlineLevel="0" collapsed="false">
      <c r="K544" s="0" t="s">
        <v>553</v>
      </c>
      <c r="L544" s="0" t="n">
        <f aca="false">ROW(A1)</f>
        <v>1</v>
      </c>
    </row>
    <row r="545" customFormat="false" ht="12.8" hidden="false" customHeight="false" outlineLevel="0" collapsed="false">
      <c r="K545" s="0" t="s">
        <v>554</v>
      </c>
      <c r="L545" s="0" t="n">
        <f aca="false">ROW(C5)</f>
        <v>5</v>
      </c>
    </row>
    <row r="546" customFormat="false" ht="12.8" hidden="false" customHeight="false" outlineLevel="0" collapsed="false">
      <c r="K546" s="0" t="s">
        <v>555</v>
      </c>
      <c r="L546" s="0" t="n">
        <f aca="false">SUM(ROW(B2:B4))</f>
        <v>9</v>
      </c>
    </row>
    <row r="547" customFormat="false" ht="12.8" hidden="false" customHeight="false" outlineLevel="0" collapsed="false">
      <c r="K547" s="0" t="s">
        <v>556</v>
      </c>
      <c r="L547" s="0" t="n">
        <f aca="false">ROW(Other!A5)</f>
        <v>5</v>
      </c>
    </row>
    <row r="548" customFormat="false" ht="12.8" hidden="false" customHeight="false" outlineLevel="0" collapsed="false">
      <c r="K548" s="0" t="s">
        <v>557</v>
      </c>
      <c r="L548" s="0" t="n">
        <f aca="false">ROW(Z100)</f>
        <v>100</v>
      </c>
    </row>
    <row r="549" customFormat="false" ht="12.8" hidden="false" customHeight="false" outlineLevel="0" collapsed="false">
      <c r="K549" s="0" t="s">
        <v>558</v>
      </c>
      <c r="L549" s="0" t="n">
        <f aca="false">ROW(H1)</f>
        <v>1</v>
      </c>
    </row>
    <row r="550" customFormat="false" ht="12.8" hidden="false" customHeight="false" outlineLevel="0" collapsed="false">
      <c r="K550" s="0" t="s">
        <v>559</v>
      </c>
      <c r="L550" s="0" t="n">
        <f aca="false">ROW(INDEX(A1:A6,3))</f>
        <v>3</v>
      </c>
    </row>
    <row r="551" customFormat="false" ht="12.8" hidden="false" customHeight="false" outlineLevel="0" collapsed="false">
      <c r="K551" s="0" t="s">
        <v>560</v>
      </c>
      <c r="L551" s="0" t="n">
        <f aca="false">ROW(D4)+1</f>
        <v>5</v>
      </c>
    </row>
    <row r="552" customFormat="false" ht="12.8" hidden="false" customHeight="false" outlineLevel="0" collapsed="false">
      <c r="K552" s="0" t="s">
        <v>561</v>
      </c>
      <c r="L552" s="0" t="n">
        <f aca="false">COLUMN(A1)</f>
        <v>1</v>
      </c>
    </row>
    <row r="553" customFormat="false" ht="12.8" hidden="false" customHeight="false" outlineLevel="0" collapsed="false">
      <c r="K553" s="0" t="s">
        <v>562</v>
      </c>
      <c r="L553" s="0" t="n">
        <f aca="false">COLUMN(C5)</f>
        <v>3</v>
      </c>
    </row>
    <row r="554" customFormat="false" ht="12.8" hidden="false" customHeight="false" outlineLevel="0" collapsed="false">
      <c r="K554" s="0" t="s">
        <v>563</v>
      </c>
      <c r="L554" s="0" t="n">
        <f aca="false">COLUMN(AA1)</f>
        <v>27</v>
      </c>
    </row>
    <row r="555" customFormat="false" ht="12.8" hidden="false" customHeight="false" outlineLevel="0" collapsed="false">
      <c r="K555" s="0" t="s">
        <v>564</v>
      </c>
      <c r="L555" s="0" t="n">
        <f aca="false">COLUMN(Other!B1)</f>
        <v>2</v>
      </c>
    </row>
    <row r="556" customFormat="false" ht="12.8" hidden="false" customHeight="false" outlineLevel="0" collapsed="false">
      <c r="K556" s="0" t="s">
        <v>565</v>
      </c>
      <c r="L556" s="0" t="n">
        <f aca="false">COLUMN(H1)</f>
        <v>8</v>
      </c>
    </row>
    <row r="557" customFormat="false" ht="12.8" hidden="false" customHeight="false" outlineLevel="0" collapsed="false">
      <c r="K557" s="0" t="s">
        <v>566</v>
      </c>
      <c r="L557" s="0" t="n">
        <f aca="false">SUM(COLUMN(A1:C1))</f>
        <v>6</v>
      </c>
    </row>
    <row r="558" customFormat="false" ht="12.8" hidden="false" customHeight="false" outlineLevel="0" collapsed="false">
      <c r="K558" s="0" t="s">
        <v>567</v>
      </c>
      <c r="L558" s="0" t="n">
        <f aca="false">COLUMN(INDEX(A1:H6,1,5))</f>
        <v>5</v>
      </c>
    </row>
    <row r="559" customFormat="false" ht="12.8" hidden="false" customHeight="false" outlineLevel="0" collapsed="false">
      <c r="K559" s="0" t="s">
        <v>568</v>
      </c>
      <c r="L559" s="0" t="n">
        <f aca="false">COLUMN(XFD1)</f>
        <v>16384</v>
      </c>
    </row>
    <row r="560" customFormat="false" ht="12.8" hidden="false" customHeight="false" outlineLevel="0" collapsed="false">
      <c r="K560" s="0" t="s">
        <v>569</v>
      </c>
      <c r="L560" s="3" t="n">
        <f aca="true">TODAY()</f>
        <v>46310</v>
      </c>
    </row>
    <row r="561" customFormat="false" ht="12.8" hidden="false" customHeight="false" outlineLevel="0" collapsed="false">
      <c r="K561" s="0" t="s">
        <v>570</v>
      </c>
      <c r="L561" s="1" t="b">
        <f aca="true">INT(TODAY())=TODAY()</f>
        <v>1</v>
      </c>
    </row>
    <row r="562" customFormat="false" ht="12.8" hidden="false" customHeight="false" outlineLevel="0" collapsed="false">
      <c r="K562" s="0" t="s">
        <v>571</v>
      </c>
      <c r="L562" s="1" t="b">
        <f aca="true">TODAY()&gt;45306</f>
        <v>1</v>
      </c>
    </row>
    <row r="563" customFormat="false" ht="12.8" hidden="false" customHeight="false" outlineLevel="0" collapsed="false">
      <c r="K563" s="0" t="s">
        <v>572</v>
      </c>
      <c r="L563" s="1" t="b">
        <f aca="true">YEAR(TODAY())&gt;=2024</f>
        <v>1</v>
      </c>
    </row>
    <row r="564" customFormat="false" ht="12.8" hidden="false" customHeight="false" outlineLevel="0" collapsed="false">
      <c r="K564" s="0" t="s">
        <v>573</v>
      </c>
      <c r="L564" s="0" t="n">
        <f aca="true">TODAY()-TODAY()</f>
        <v>0</v>
      </c>
    </row>
    <row r="565" customFormat="false" ht="12.8" hidden="false" customHeight="false" outlineLevel="0" collapsed="false">
      <c r="K565" s="0" t="s">
        <v>574</v>
      </c>
      <c r="L565" s="0" t="e">
        <f aca="true">TODAY()+H1</f>
        <v>#DIV/0!</v>
      </c>
    </row>
    <row r="566" customFormat="false" ht="12.8" hidden="false" customHeight="false" outlineLevel="0" collapsed="false">
      <c r="K566" s="0" t="s">
        <v>575</v>
      </c>
      <c r="L566" s="1" t="b">
        <f aca="true">ISNUMBER(TODAY())</f>
        <v>1</v>
      </c>
    </row>
    <row r="567" customFormat="false" ht="12.8" hidden="false" customHeight="false" outlineLevel="0" collapsed="false">
      <c r="K567" s="0" t="s">
        <v>576</v>
      </c>
      <c r="L567" s="1" t="b">
        <f aca="true">TODAY()-E1&gt;0</f>
        <v>1</v>
      </c>
    </row>
    <row r="568" customFormat="false" ht="12.8" hidden="false" customHeight="false" outlineLevel="0" collapsed="false">
      <c r="K568" s="0" t="s">
        <v>577</v>
      </c>
      <c r="L568" s="4" t="n">
        <f aca="true">NOW()</f>
        <v>46310.3676440239</v>
      </c>
    </row>
    <row r="569" customFormat="false" ht="12.8" hidden="false" customHeight="false" outlineLevel="0" collapsed="false">
      <c r="K569" s="0" t="s">
        <v>578</v>
      </c>
      <c r="L569" s="1" t="b">
        <f aca="true">NOW()&gt;=TODAY()</f>
        <v>1</v>
      </c>
    </row>
    <row r="570" customFormat="false" ht="12.8" hidden="false" customHeight="false" outlineLevel="0" collapsed="false">
      <c r="K570" s="0" t="s">
        <v>579</v>
      </c>
      <c r="L570" s="1" t="b">
        <f aca="true">INT(NOW())=TODAY()</f>
        <v>1</v>
      </c>
    </row>
    <row r="571" customFormat="false" ht="12.8" hidden="false" customHeight="false" outlineLevel="0" collapsed="false">
      <c r="K571" s="0" t="s">
        <v>580</v>
      </c>
      <c r="L571" s="1" t="b">
        <f aca="true">ISNUMBER(NOW())</f>
        <v>1</v>
      </c>
    </row>
    <row r="572" customFormat="false" ht="12.8" hidden="false" customHeight="false" outlineLevel="0" collapsed="false">
      <c r="K572" s="0" t="s">
        <v>581</v>
      </c>
      <c r="L572" s="5" t="e">
        <f aca="true">NOW()+H1</f>
        <v>#DIV/0!</v>
      </c>
    </row>
    <row r="573" customFormat="false" ht="12.8" hidden="false" customHeight="false" outlineLevel="0" collapsed="false">
      <c r="K573" s="0" t="s">
        <v>582</v>
      </c>
      <c r="L573" s="1" t="b">
        <f aca="true">MOD(NOW(),1)&lt;1</f>
        <v>1</v>
      </c>
    </row>
    <row r="574" customFormat="false" ht="12.8" hidden="false" customHeight="false" outlineLevel="0" collapsed="false">
      <c r="K574" s="0" t="s">
        <v>583</v>
      </c>
      <c r="L574" s="1" t="b">
        <f aca="true">NOW()&gt;E1</f>
        <v>1</v>
      </c>
    </row>
    <row r="575" customFormat="false" ht="12.8" hidden="false" customHeight="false" outlineLevel="0" collapsed="false">
      <c r="K575" s="0" t="s">
        <v>584</v>
      </c>
      <c r="L575" s="1" t="b">
        <f aca="true">NOW()-TODAY()&lt;1</f>
        <v>1</v>
      </c>
    </row>
    <row r="576" customFormat="false" ht="12.8" hidden="false" customHeight="false" outlineLevel="0" collapsed="false">
      <c r="K576" s="0" t="s">
        <v>585</v>
      </c>
      <c r="L576" s="3" t="n">
        <f aca="false">DATE(2024,1,15)</f>
        <v>45306</v>
      </c>
    </row>
    <row r="577" customFormat="false" ht="12.8" hidden="false" customHeight="false" outlineLevel="0" collapsed="false">
      <c r="K577" s="0" t="s">
        <v>586</v>
      </c>
      <c r="L577" s="3" t="n">
        <f aca="false">DATE(2024,13,1)</f>
        <v>45658</v>
      </c>
    </row>
    <row r="578" customFormat="false" ht="12.8" hidden="false" customHeight="false" outlineLevel="0" collapsed="false">
      <c r="K578" s="0" t="s">
        <v>587</v>
      </c>
      <c r="L578" s="3" t="n">
        <f aca="false">DATE(2024,1,0)</f>
        <v>45291</v>
      </c>
    </row>
    <row r="579" customFormat="false" ht="12.8" hidden="false" customHeight="false" outlineLevel="0" collapsed="false">
      <c r="K579" s="0" t="s">
        <v>588</v>
      </c>
      <c r="L579" s="3" t="n">
        <f aca="false">DATE(2024,2,30)</f>
        <v>45352</v>
      </c>
    </row>
    <row r="580" customFormat="false" ht="12.8" hidden="false" customHeight="false" outlineLevel="0" collapsed="false">
      <c r="K580" s="0" t="s">
        <v>589</v>
      </c>
      <c r="L580" s="3" t="n">
        <f aca="false">DATE(1900,1,1)</f>
        <v>2</v>
      </c>
    </row>
    <row r="581" customFormat="false" ht="12.8" hidden="false" customHeight="false" outlineLevel="0" collapsed="false">
      <c r="K581" s="0" t="s">
        <v>590</v>
      </c>
      <c r="L581" s="3" t="n">
        <f aca="false">DATE(2024,0,1)</f>
        <v>45261</v>
      </c>
    </row>
    <row r="582" customFormat="false" ht="12.8" hidden="false" customHeight="false" outlineLevel="0" collapsed="false">
      <c r="K582" s="0" t="s">
        <v>591</v>
      </c>
      <c r="L582" s="3" t="n">
        <f aca="false">DATE(YEAR(E1),MONTH(E1),DAY(E1))</f>
        <v>45306</v>
      </c>
    </row>
    <row r="583" customFormat="false" ht="12.8" hidden="false" customHeight="false" outlineLevel="0" collapsed="false">
      <c r="K583" s="0" t="s">
        <v>592</v>
      </c>
      <c r="L583" s="3" t="e">
        <f aca="false">DATE(H1,1,1)</f>
        <v>#DIV/0!</v>
      </c>
    </row>
    <row r="584" customFormat="false" ht="12.8" hidden="false" customHeight="false" outlineLevel="0" collapsed="false">
      <c r="K584" s="0" t="s">
        <v>593</v>
      </c>
      <c r="L584" s="3" t="n">
        <f aca="false">DATE(1,1,1)</f>
        <v>36892</v>
      </c>
    </row>
    <row r="585" customFormat="false" ht="12.8" hidden="false" customHeight="false" outlineLevel="0" collapsed="false">
      <c r="K585" s="0" t="s">
        <v>594</v>
      </c>
      <c r="L585" s="3" t="n">
        <f aca="false">DATE(2024,-1,1)</f>
        <v>45231</v>
      </c>
    </row>
    <row r="586" customFormat="false" ht="12.8" hidden="false" customHeight="false" outlineLevel="0" collapsed="false">
      <c r="K586" s="0" t="s">
        <v>595</v>
      </c>
      <c r="L586" s="3" t="n">
        <f aca="false">DATE("2024","1","15")</f>
        <v>45306</v>
      </c>
    </row>
    <row r="587" customFormat="false" ht="12.8" hidden="false" customHeight="false" outlineLevel="0" collapsed="false">
      <c r="K587" s="0" t="s">
        <v>596</v>
      </c>
      <c r="L587" s="3" t="n">
        <f aca="false">DATE(2024,1,15.9)</f>
        <v>45306</v>
      </c>
    </row>
    <row r="588" customFormat="false" ht="12.8" hidden="false" customHeight="false" outlineLevel="0" collapsed="false">
      <c r="K588" s="0" t="s">
        <v>597</v>
      </c>
      <c r="L588" s="3" t="n">
        <f aca="false">DATE(10000,1,1)</f>
        <v>2958466</v>
      </c>
    </row>
    <row r="589" customFormat="false" ht="12.8" hidden="false" customHeight="false" outlineLevel="0" collapsed="false">
      <c r="K589" s="0" t="s">
        <v>598</v>
      </c>
      <c r="L589" s="3" t="n">
        <f aca="false">DATE(2024,1,D4)</f>
        <v>45291</v>
      </c>
    </row>
    <row r="590" customFormat="false" ht="12.8" hidden="false" customHeight="false" outlineLevel="0" collapsed="false">
      <c r="K590" s="0" t="s">
        <v>599</v>
      </c>
      <c r="L590" s="0" t="n">
        <f aca="false">YEAR(45306)</f>
        <v>2024</v>
      </c>
    </row>
    <row r="591" customFormat="false" ht="12.8" hidden="false" customHeight="false" outlineLevel="0" collapsed="false">
      <c r="K591" s="0" t="s">
        <v>600</v>
      </c>
      <c r="L591" s="0" t="n">
        <f aca="false">YEAR(E1)</f>
        <v>2024</v>
      </c>
    </row>
    <row r="592" customFormat="false" ht="12.8" hidden="false" customHeight="false" outlineLevel="0" collapsed="false">
      <c r="K592" s="0" t="s">
        <v>601</v>
      </c>
      <c r="L592" s="0" t="n">
        <f aca="false">YEAR(E3)</f>
        <v>2024</v>
      </c>
    </row>
    <row r="593" customFormat="false" ht="12.8" hidden="false" customHeight="false" outlineLevel="0" collapsed="false">
      <c r="K593" s="0" t="s">
        <v>602</v>
      </c>
      <c r="L593" s="0" t="n">
        <f aca="false">YEAR(0)</f>
        <v>1899</v>
      </c>
    </row>
    <row r="594" customFormat="false" ht="12.8" hidden="false" customHeight="false" outlineLevel="0" collapsed="false">
      <c r="K594" s="0" t="s">
        <v>603</v>
      </c>
      <c r="L594" s="0" t="n">
        <f aca="false">YEAR(-1)</f>
        <v>1899</v>
      </c>
    </row>
    <row r="595" customFormat="false" ht="12.8" hidden="false" customHeight="false" outlineLevel="0" collapsed="false">
      <c r="K595" s="0" t="s">
        <v>604</v>
      </c>
      <c r="L595" s="0" t="n">
        <f aca="false">YEAR("2024-01-15")</f>
        <v>2024</v>
      </c>
    </row>
    <row r="596" customFormat="false" ht="12.8" hidden="false" customHeight="false" outlineLevel="0" collapsed="false">
      <c r="K596" s="0" t="s">
        <v>605</v>
      </c>
      <c r="L596" s="0" t="e">
        <f aca="false">YEAR(H1)</f>
        <v>#DIV/0!</v>
      </c>
    </row>
    <row r="597" customFormat="false" ht="12.8" hidden="false" customHeight="false" outlineLevel="0" collapsed="false">
      <c r="K597" s="0" t="s">
        <v>606</v>
      </c>
      <c r="L597" s="0" t="n">
        <f aca="false">YEAR(D4)</f>
        <v>1899</v>
      </c>
    </row>
    <row r="598" customFormat="false" ht="12.8" hidden="false" customHeight="false" outlineLevel="0" collapsed="false">
      <c r="K598" s="0" t="s">
        <v>607</v>
      </c>
      <c r="L598" s="0" t="n">
        <f aca="false">YEAR(E4)</f>
        <v>1899</v>
      </c>
    </row>
    <row r="599" customFormat="false" ht="12.8" hidden="false" customHeight="false" outlineLevel="0" collapsed="false">
      <c r="K599" s="0" t="s">
        <v>608</v>
      </c>
      <c r="L599" s="0" t="n">
        <f aca="false">YEAR(DATE(2000,2,29))</f>
        <v>2000</v>
      </c>
    </row>
    <row r="600" customFormat="false" ht="12.8" hidden="false" customHeight="false" outlineLevel="0" collapsed="false">
      <c r="K600" s="0" t="s">
        <v>609</v>
      </c>
      <c r="L600" s="0" t="e">
        <f aca="false">YEAR(B1)</f>
        <v>#VALUE!</v>
      </c>
    </row>
    <row r="601" customFormat="false" ht="12.8" hidden="false" customHeight="false" outlineLevel="0" collapsed="false">
      <c r="K601" s="0" t="s">
        <v>610</v>
      </c>
      <c r="L601" s="0" t="n">
        <f aca="false">YEAR(2958465)</f>
        <v>9999</v>
      </c>
    </row>
    <row r="602" customFormat="false" ht="12.8" hidden="false" customHeight="false" outlineLevel="0" collapsed="false">
      <c r="K602" s="0" t="s">
        <v>611</v>
      </c>
      <c r="L602" s="0" t="n">
        <f aca="false">MONTH(E1)</f>
        <v>1</v>
      </c>
    </row>
    <row r="603" customFormat="false" ht="12.8" hidden="false" customHeight="false" outlineLevel="0" collapsed="false">
      <c r="K603" s="0" t="s">
        <v>612</v>
      </c>
      <c r="L603" s="0" t="n">
        <f aca="false">MONTH(E2)</f>
        <v>12</v>
      </c>
    </row>
    <row r="604" customFormat="false" ht="12.8" hidden="false" customHeight="false" outlineLevel="0" collapsed="false">
      <c r="K604" s="0" t="s">
        <v>613</v>
      </c>
      <c r="L604" s="0" t="n">
        <f aca="false">MONTH(45306.75)</f>
        <v>1</v>
      </c>
    </row>
    <row r="605" customFormat="false" ht="12.8" hidden="false" customHeight="false" outlineLevel="0" collapsed="false">
      <c r="K605" s="0" t="s">
        <v>614</v>
      </c>
      <c r="L605" s="0" t="n">
        <f aca="false">MONTH(0)</f>
        <v>12</v>
      </c>
    </row>
    <row r="606" customFormat="false" ht="12.8" hidden="false" customHeight="false" outlineLevel="0" collapsed="false">
      <c r="K606" s="0" t="s">
        <v>615</v>
      </c>
      <c r="L606" s="0" t="n">
        <f aca="false">MONTH(-1)</f>
        <v>12</v>
      </c>
    </row>
    <row r="607" customFormat="false" ht="12.8" hidden="false" customHeight="false" outlineLevel="0" collapsed="false">
      <c r="K607" s="0" t="s">
        <v>616</v>
      </c>
      <c r="L607" s="0" t="e">
        <f aca="false">MONTH(H1)</f>
        <v>#DIV/0!</v>
      </c>
    </row>
    <row r="608" customFormat="false" ht="12.8" hidden="false" customHeight="false" outlineLevel="0" collapsed="false">
      <c r="K608" s="0" t="s">
        <v>617</v>
      </c>
      <c r="L608" s="0" t="n">
        <f aca="false">MONTH("2024-12-31")</f>
        <v>12</v>
      </c>
    </row>
    <row r="609" customFormat="false" ht="12.8" hidden="false" customHeight="false" outlineLevel="0" collapsed="false">
      <c r="K609" s="0" t="s">
        <v>618</v>
      </c>
      <c r="L609" s="0" t="n">
        <f aca="false">MONTH(D4)</f>
        <v>12</v>
      </c>
    </row>
    <row r="610" customFormat="false" ht="12.8" hidden="false" customHeight="false" outlineLevel="0" collapsed="false">
      <c r="K610" s="0" t="s">
        <v>619</v>
      </c>
      <c r="L610" s="0" t="n">
        <f aca="false">MONTH(DATE(2024,2,30))</f>
        <v>3</v>
      </c>
    </row>
    <row r="611" customFormat="false" ht="12.8" hidden="false" customHeight="false" outlineLevel="0" collapsed="false">
      <c r="K611" s="0" t="s">
        <v>620</v>
      </c>
      <c r="L611" s="0" t="e">
        <f aca="false">MONTH(B1)</f>
        <v>#VALUE!</v>
      </c>
    </row>
    <row r="612" customFormat="false" ht="12.8" hidden="false" customHeight="false" outlineLevel="0" collapsed="false">
      <c r="K612" s="0" t="s">
        <v>621</v>
      </c>
      <c r="L612" s="0" t="n">
        <f aca="false">MONTH(60)</f>
        <v>2</v>
      </c>
    </row>
    <row r="613" customFormat="false" ht="12.8" hidden="false" customHeight="false" outlineLevel="0" collapsed="false">
      <c r="K613" s="0" t="s">
        <v>622</v>
      </c>
      <c r="L613" s="0" t="n">
        <f aca="false">MONTH(59)</f>
        <v>2</v>
      </c>
    </row>
    <row r="614" customFormat="false" ht="12.8" hidden="false" customHeight="false" outlineLevel="0" collapsed="false">
      <c r="K614" s="0" t="s">
        <v>623</v>
      </c>
      <c r="L614" s="0" t="n">
        <f aca="false">DAY(E1)</f>
        <v>15</v>
      </c>
    </row>
    <row r="615" customFormat="false" ht="12.8" hidden="false" customHeight="false" outlineLevel="0" collapsed="false">
      <c r="K615" s="0" t="s">
        <v>624</v>
      </c>
      <c r="L615" s="0" t="n">
        <f aca="false">DAY(E2)</f>
        <v>31</v>
      </c>
    </row>
    <row r="616" customFormat="false" ht="12.8" hidden="false" customHeight="false" outlineLevel="0" collapsed="false">
      <c r="K616" s="0" t="s">
        <v>625</v>
      </c>
      <c r="L616" s="0" t="n">
        <f aca="false">DAY(E3)</f>
        <v>15</v>
      </c>
    </row>
    <row r="617" customFormat="false" ht="12.8" hidden="false" customHeight="false" outlineLevel="0" collapsed="false">
      <c r="K617" s="0" t="s">
        <v>626</v>
      </c>
      <c r="L617" s="0" t="n">
        <f aca="false">DAY(0)</f>
        <v>30</v>
      </c>
    </row>
    <row r="618" customFormat="false" ht="12.8" hidden="false" customHeight="false" outlineLevel="0" collapsed="false">
      <c r="K618" s="0" t="s">
        <v>627</v>
      </c>
      <c r="L618" s="0" t="n">
        <f aca="false">DAY(1)</f>
        <v>31</v>
      </c>
    </row>
    <row r="619" customFormat="false" ht="12.8" hidden="false" customHeight="false" outlineLevel="0" collapsed="false">
      <c r="K619" s="0" t="s">
        <v>628</v>
      </c>
      <c r="L619" s="0" t="e">
        <f aca="false">DAY(H1)</f>
        <v>#DIV/0!</v>
      </c>
    </row>
    <row r="620" customFormat="false" ht="12.8" hidden="false" customHeight="false" outlineLevel="0" collapsed="false">
      <c r="K620" s="0" t="s">
        <v>629</v>
      </c>
      <c r="L620" s="0" t="n">
        <f aca="false">DAY("2024-01-15")</f>
        <v>15</v>
      </c>
    </row>
    <row r="621" customFormat="false" ht="12.8" hidden="false" customHeight="false" outlineLevel="0" collapsed="false">
      <c r="K621" s="0" t="s">
        <v>630</v>
      </c>
      <c r="L621" s="0" t="n">
        <f aca="false">DAY(D4)</f>
        <v>30</v>
      </c>
    </row>
    <row r="622" customFormat="false" ht="12.8" hidden="false" customHeight="false" outlineLevel="0" collapsed="false">
      <c r="K622" s="0" t="s">
        <v>631</v>
      </c>
      <c r="L622" s="0" t="e">
        <f aca="false">DAY(B1)</f>
        <v>#VALUE!</v>
      </c>
    </row>
    <row r="623" customFormat="false" ht="12.8" hidden="false" customHeight="false" outlineLevel="0" collapsed="false">
      <c r="K623" s="0" t="s">
        <v>632</v>
      </c>
      <c r="L623" s="0" t="n">
        <f aca="false">DAY(DATE(2024,3,0))</f>
        <v>29</v>
      </c>
    </row>
    <row r="624" customFormat="false" ht="12.8" hidden="false" customHeight="false" outlineLevel="0" collapsed="false">
      <c r="K624" s="0" t="s">
        <v>633</v>
      </c>
      <c r="L624" s="0" t="n">
        <f aca="false">DAY(-1)</f>
        <v>29</v>
      </c>
    </row>
    <row r="625" customFormat="false" ht="12.8" hidden="false" customHeight="false" outlineLevel="0" collapsed="false">
      <c r="K625" s="0" t="s">
        <v>634</v>
      </c>
      <c r="L625" s="0" t="n">
        <f aca="false">DAY(60)</f>
        <v>28</v>
      </c>
    </row>
    <row r="626" customFormat="false" ht="12.8" hidden="false" customHeight="false" outlineLevel="0" collapsed="false">
      <c r="K626" s="0" t="s">
        <v>635</v>
      </c>
      <c r="L626" s="0" t="n">
        <f aca="false">WEEKDAY(E1)</f>
        <v>2</v>
      </c>
    </row>
    <row r="627" customFormat="false" ht="12.8" hidden="false" customHeight="false" outlineLevel="0" collapsed="false">
      <c r="K627" s="0" t="s">
        <v>636</v>
      </c>
      <c r="L627" s="0" t="n">
        <f aca="false">WEEKDAY(E1,2)</f>
        <v>1</v>
      </c>
    </row>
    <row r="628" customFormat="false" ht="12.8" hidden="false" customHeight="false" outlineLevel="0" collapsed="false">
      <c r="K628" s="0" t="s">
        <v>637</v>
      </c>
      <c r="L628" s="0" t="n">
        <f aca="false">WEEKDAY(E1,3)</f>
        <v>0</v>
      </c>
    </row>
    <row r="629" customFormat="false" ht="12.8" hidden="false" customHeight="false" outlineLevel="0" collapsed="false">
      <c r="K629" s="0" t="s">
        <v>638</v>
      </c>
      <c r="L629" s="0" t="n">
        <f aca="false">WEEKDAY(E2)</f>
        <v>3</v>
      </c>
    </row>
    <row r="630" customFormat="false" ht="12.8" hidden="false" customHeight="false" outlineLevel="0" collapsed="false">
      <c r="K630" s="0" t="s">
        <v>639</v>
      </c>
      <c r="L630" s="0" t="n">
        <f aca="false">WEEKDAY(E2,2)</f>
        <v>2</v>
      </c>
    </row>
    <row r="631" customFormat="false" ht="12.8" hidden="false" customHeight="false" outlineLevel="0" collapsed="false">
      <c r="K631" s="0" t="s">
        <v>640</v>
      </c>
      <c r="L631" s="0" t="n">
        <f aca="false">WEEKDAY(DATE(2024,1,14))</f>
        <v>1</v>
      </c>
    </row>
    <row r="632" customFormat="false" ht="12.8" hidden="false" customHeight="false" outlineLevel="0" collapsed="false">
      <c r="K632" s="0" t="s">
        <v>641</v>
      </c>
      <c r="L632" s="0" t="n">
        <f aca="false">WEEKDAY(DATE(2024,1,14),2)</f>
        <v>7</v>
      </c>
    </row>
    <row r="633" customFormat="false" ht="12.8" hidden="false" customHeight="false" outlineLevel="0" collapsed="false">
      <c r="K633" s="0" t="s">
        <v>642</v>
      </c>
      <c r="L633" s="0" t="n">
        <f aca="false">WEEKDAY(E1,11)</f>
        <v>1</v>
      </c>
    </row>
    <row r="634" customFormat="false" ht="12.8" hidden="false" customHeight="false" outlineLevel="0" collapsed="false">
      <c r="K634" s="0" t="s">
        <v>643</v>
      </c>
      <c r="L634" s="0" t="n">
        <f aca="false">WEEKDAY(E1,17)</f>
        <v>2</v>
      </c>
    </row>
    <row r="635" customFormat="false" ht="12.8" hidden="false" customHeight="false" outlineLevel="0" collapsed="false">
      <c r="K635" s="0" t="s">
        <v>644</v>
      </c>
      <c r="L635" s="0" t="e">
        <f aca="false">WEEKDAY(E1,4)</f>
        <v>#VALUE!</v>
      </c>
    </row>
    <row r="636" customFormat="false" ht="12.8" hidden="false" customHeight="false" outlineLevel="0" collapsed="false">
      <c r="K636" s="0" t="s">
        <v>645</v>
      </c>
      <c r="L636" s="0" t="e">
        <f aca="false">WEEKDAY(H1)</f>
        <v>#DIV/0!</v>
      </c>
    </row>
    <row r="637" customFormat="false" ht="12.8" hidden="false" customHeight="false" outlineLevel="0" collapsed="false">
      <c r="K637" s="0" t="s">
        <v>646</v>
      </c>
      <c r="L637" s="0" t="n">
        <f aca="false">WEEKDAY(E3)</f>
        <v>2</v>
      </c>
    </row>
    <row r="638" customFormat="false" ht="12.8" hidden="false" customHeight="false" outlineLevel="0" collapsed="false">
      <c r="K638" s="0" t="s">
        <v>647</v>
      </c>
      <c r="L638" s="0" t="n">
        <f aca="false">WEEKDAY(0)</f>
        <v>7</v>
      </c>
    </row>
    <row r="639" customFormat="false" ht="12.8" hidden="false" customHeight="false" outlineLevel="0" collapsed="false">
      <c r="K639" s="0" t="s">
        <v>648</v>
      </c>
      <c r="L639" s="0" t="n">
        <f aca="false">WEEKDAY(1)</f>
        <v>1</v>
      </c>
    </row>
    <row r="640" customFormat="false" ht="12.8" hidden="false" customHeight="false" outlineLevel="0" collapsed="false">
      <c r="K640" s="0" t="s">
        <v>649</v>
      </c>
      <c r="L640" s="0" t="n">
        <f aca="false">WEEKDAY(D4)</f>
        <v>7</v>
      </c>
    </row>
    <row r="641" customFormat="false" ht="12.8" hidden="false" customHeight="false" outlineLevel="0" collapsed="false">
      <c r="K641" s="0" t="s">
        <v>650</v>
      </c>
      <c r="L641" s="0" t="e">
        <f aca="false">WEEKDAY(B1)</f>
        <v>#VALUE!</v>
      </c>
    </row>
    <row r="642" customFormat="false" ht="12.8" hidden="false" customHeight="false" outlineLevel="0" collapsed="false">
      <c r="K642" s="0" t="s">
        <v>651</v>
      </c>
      <c r="L642" s="0" t="n">
        <f aca="false">WEEKDAY(-1)</f>
        <v>6</v>
      </c>
    </row>
    <row r="643" customFormat="false" ht="12.8" hidden="false" customHeight="false" outlineLevel="0" collapsed="false">
      <c r="K643" s="0" t="s">
        <v>652</v>
      </c>
      <c r="L643" s="0" t="n">
        <f aca="false">WEEKDAY(E1,12)</f>
        <v>7</v>
      </c>
    </row>
    <row r="644" customFormat="false" ht="12.8" hidden="false" customHeight="false" outlineLevel="0" collapsed="false">
      <c r="K644" s="0" t="s">
        <v>653</v>
      </c>
      <c r="L644" s="0" t="n">
        <f aca="false">WEEKDAY("2024-01-15")</f>
        <v>2</v>
      </c>
    </row>
    <row r="645" customFormat="false" ht="12.8" hidden="false" customHeight="false" outlineLevel="0" collapsed="false">
      <c r="K645" s="0" t="s">
        <v>654</v>
      </c>
      <c r="L645" s="0" t="n">
        <f aca="false">_xlfn.DAYS(E2,E1)</f>
        <v>351</v>
      </c>
    </row>
    <row r="646" customFormat="false" ht="12.8" hidden="false" customHeight="false" outlineLevel="0" collapsed="false">
      <c r="K646" s="0" t="s">
        <v>655</v>
      </c>
      <c r="L646" s="0" t="n">
        <f aca="false">_xlfn.DAYS(E1,E2)</f>
        <v>-351</v>
      </c>
    </row>
    <row r="647" customFormat="false" ht="12.8" hidden="false" customHeight="false" outlineLevel="0" collapsed="false">
      <c r="K647" s="0" t="s">
        <v>656</v>
      </c>
      <c r="L647" s="0" t="n">
        <f aca="false">_xlfn.DAYS(E1,E1)</f>
        <v>0</v>
      </c>
    </row>
    <row r="648" customFormat="false" ht="12.8" hidden="false" customHeight="false" outlineLevel="0" collapsed="false">
      <c r="K648" s="0" t="s">
        <v>657</v>
      </c>
      <c r="L648" s="0" t="n">
        <f aca="false">_xlfn.DAYS(DATE(2024,3,1),DATE(2024,2,1))</f>
        <v>29</v>
      </c>
    </row>
    <row r="649" customFormat="false" ht="12.8" hidden="false" customHeight="false" outlineLevel="0" collapsed="false">
      <c r="K649" s="0" t="s">
        <v>658</v>
      </c>
      <c r="L649" s="0" t="n">
        <f aca="false">_xlfn.DAYS("2024-12-31","2024-01-15")</f>
        <v>351</v>
      </c>
    </row>
    <row r="650" customFormat="false" ht="12.8" hidden="false" customHeight="false" outlineLevel="0" collapsed="false">
      <c r="K650" s="0" t="s">
        <v>659</v>
      </c>
      <c r="L650" s="0" t="n">
        <f aca="false">_xlfn.DAYS(E3,E1)</f>
        <v>0.75</v>
      </c>
    </row>
    <row r="651" customFormat="false" ht="12.8" hidden="false" customHeight="false" outlineLevel="0" collapsed="false">
      <c r="K651" s="0" t="s">
        <v>660</v>
      </c>
      <c r="L651" s="0" t="e">
        <f aca="false">_xlfn.DAYS(H1,E1)</f>
        <v>#DIV/0!</v>
      </c>
    </row>
    <row r="652" customFormat="false" ht="12.8" hidden="false" customHeight="false" outlineLevel="0" collapsed="false">
      <c r="K652" s="0" t="s">
        <v>661</v>
      </c>
      <c r="L652" s="0" t="e">
        <f aca="false">_xlfn.DAYS(E1,H2)</f>
        <v>#N/A</v>
      </c>
    </row>
    <row r="653" customFormat="false" ht="12.8" hidden="false" customHeight="false" outlineLevel="0" collapsed="false">
      <c r="K653" s="0" t="s">
        <v>662</v>
      </c>
      <c r="L653" s="0" t="e">
        <f aca="false">_xlfn.DAYS(B1,E1)</f>
        <v>#VALUE!</v>
      </c>
    </row>
    <row r="654" customFormat="false" ht="12.8" hidden="false" customHeight="false" outlineLevel="0" collapsed="false">
      <c r="K654" s="0" t="s">
        <v>663</v>
      </c>
      <c r="L654" s="0" t="n">
        <f aca="false">_xlfn.DAYS(D4,E1)</f>
        <v>-45306</v>
      </c>
    </row>
    <row r="655" customFormat="false" ht="12.8" hidden="false" customHeight="false" outlineLevel="0" collapsed="false">
      <c r="K655" s="0" t="s">
        <v>664</v>
      </c>
      <c r="L655" s="0" t="n">
        <f aca="false">_xlfn.DAYS(E2,E1)+1</f>
        <v>352</v>
      </c>
    </row>
    <row r="656" customFormat="false" ht="12.8" hidden="false" customHeight="false" outlineLevel="0" collapsed="false">
      <c r="K656" s="0" t="s">
        <v>665</v>
      </c>
      <c r="L656" s="0" t="n">
        <f aca="false">1+2*3</f>
        <v>7</v>
      </c>
    </row>
    <row r="657" customFormat="false" ht="12.8" hidden="false" customHeight="false" outlineLevel="0" collapsed="false">
      <c r="K657" s="0" t="s">
        <v>666</v>
      </c>
      <c r="L657" s="0" t="n">
        <f aca="false">(1+2)*3</f>
        <v>9</v>
      </c>
    </row>
    <row r="658" customFormat="false" ht="12.8" hidden="false" customHeight="false" outlineLevel="0" collapsed="false">
      <c r="K658" s="0" t="s">
        <v>667</v>
      </c>
      <c r="L658" s="0" t="n">
        <f aca="false">2*3+4</f>
        <v>10</v>
      </c>
    </row>
    <row r="659" customFormat="false" ht="12.8" hidden="false" customHeight="false" outlineLevel="0" collapsed="false">
      <c r="K659" s="0" t="s">
        <v>668</v>
      </c>
      <c r="L659" s="0" t="n">
        <f aca="false">10-2-3</f>
        <v>5</v>
      </c>
    </row>
    <row r="660" customFormat="false" ht="12.8" hidden="false" customHeight="false" outlineLevel="0" collapsed="false">
      <c r="K660" s="0" t="s">
        <v>669</v>
      </c>
      <c r="L660" s="0" t="n">
        <f aca="false">2/4/2</f>
        <v>0.25</v>
      </c>
    </row>
    <row r="661" customFormat="false" ht="12.8" hidden="false" customHeight="false" outlineLevel="0" collapsed="false">
      <c r="K661" s="0" t="s">
        <v>670</v>
      </c>
      <c r="L661" s="0" t="n">
        <f aca="false">2^3^2</f>
        <v>64</v>
      </c>
    </row>
    <row r="662" customFormat="false" ht="12.8" hidden="false" customHeight="false" outlineLevel="0" collapsed="false">
      <c r="K662" s="0" t="s">
        <v>671</v>
      </c>
      <c r="L662" s="0" t="n">
        <f aca="false">-2^2</f>
        <v>4</v>
      </c>
    </row>
    <row r="663" customFormat="false" ht="12.8" hidden="false" customHeight="false" outlineLevel="0" collapsed="false">
      <c r="K663" s="0" t="s">
        <v>672</v>
      </c>
      <c r="L663" s="0" t="n">
        <f aca="false">--1</f>
        <v>1</v>
      </c>
    </row>
    <row r="664" customFormat="false" ht="12.8" hidden="false" customHeight="false" outlineLevel="0" collapsed="false">
      <c r="K664" s="0" t="s">
        <v>673</v>
      </c>
      <c r="L664" s="0" t="n">
        <f aca="false">---1</f>
        <v>-1</v>
      </c>
    </row>
    <row r="665" customFormat="false" ht="12.8" hidden="false" customHeight="false" outlineLevel="0" collapsed="false">
      <c r="K665" s="0" t="s">
        <v>674</v>
      </c>
      <c r="L665" s="0" t="n">
        <f aca="false">+1</f>
        <v>1</v>
      </c>
    </row>
    <row r="666" customFormat="false" ht="12.8" hidden="false" customHeight="false" outlineLevel="0" collapsed="false">
      <c r="K666" s="0" t="s">
        <v>675</v>
      </c>
      <c r="L666" s="6" t="n">
        <f aca="false">5%</f>
        <v>0.05</v>
      </c>
    </row>
    <row r="667" customFormat="false" ht="12.8" hidden="false" customHeight="false" outlineLevel="0" collapsed="false">
      <c r="K667" s="0" t="s">
        <v>676</v>
      </c>
      <c r="L667" s="0" t="n">
        <f aca="false">50%*2</f>
        <v>1</v>
      </c>
    </row>
    <row r="668" customFormat="false" ht="12.8" hidden="false" customHeight="false" outlineLevel="0" collapsed="false">
      <c r="K668" s="0" t="s">
        <v>677</v>
      </c>
      <c r="L668" s="0" t="n">
        <f aca="false">200*5%</f>
        <v>10</v>
      </c>
    </row>
    <row r="669" customFormat="false" ht="12.8" hidden="false" customHeight="false" outlineLevel="0" collapsed="false">
      <c r="K669" s="0" t="s">
        <v>678</v>
      </c>
      <c r="L669" s="0" t="n">
        <f aca="false">2^-1</f>
        <v>0.5</v>
      </c>
    </row>
    <row r="670" customFormat="false" ht="12.8" hidden="false" customHeight="false" outlineLevel="0" collapsed="false">
      <c r="K670" s="0" t="s">
        <v>679</v>
      </c>
      <c r="L670" s="0" t="n">
        <f aca="false">-A1^2</f>
        <v>1</v>
      </c>
    </row>
    <row r="671" customFormat="false" ht="12.8" hidden="false" customHeight="false" outlineLevel="0" collapsed="false">
      <c r="K671" s="0" t="s">
        <v>680</v>
      </c>
      <c r="L671" s="6" t="n">
        <f aca="false">10%%</f>
        <v>0.001</v>
      </c>
    </row>
    <row r="672" customFormat="false" ht="12.8" hidden="false" customHeight="false" outlineLevel="0" collapsed="false">
      <c r="K672" s="0" t="s">
        <v>681</v>
      </c>
      <c r="L672" s="0" t="str">
        <f aca="false">1+2&amp;3</f>
        <v>33</v>
      </c>
    </row>
    <row r="673" customFormat="false" ht="12.8" hidden="false" customHeight="false" outlineLevel="0" collapsed="false">
      <c r="K673" s="0" t="s">
        <v>682</v>
      </c>
      <c r="L673" s="0" t="str">
        <f aca="false">1&amp;2+3</f>
        <v>15</v>
      </c>
    </row>
    <row r="674" customFormat="false" ht="12.8" hidden="false" customHeight="false" outlineLevel="0" collapsed="false">
      <c r="K674" s="0" t="s">
        <v>683</v>
      </c>
      <c r="L674" s="0" t="str">
        <f aca="false">1&amp;TRUE()</f>
        <v>11</v>
      </c>
    </row>
    <row r="675" customFormat="false" ht="12.8" hidden="false" customHeight="false" outlineLevel="0" collapsed="false">
      <c r="K675" s="0" t="s">
        <v>684</v>
      </c>
      <c r="L675" s="0" t="str">
        <f aca="false">TRUE()&amp;FALSE()</f>
        <v>10</v>
      </c>
    </row>
    <row r="676" customFormat="false" ht="12.8" hidden="false" customHeight="false" outlineLevel="0" collapsed="false">
      <c r="K676" s="0" t="s">
        <v>685</v>
      </c>
      <c r="L676" s="0" t="str">
        <f aca="false">"a"&amp;1.5</f>
        <v>a1.5</v>
      </c>
    </row>
    <row r="677" customFormat="false" ht="12.8" hidden="false" customHeight="false" outlineLevel="0" collapsed="false">
      <c r="K677" s="0" t="s">
        <v>686</v>
      </c>
      <c r="L677" s="0" t="str">
        <f aca="false">1/4&amp;""</f>
        <v>0.25</v>
      </c>
    </row>
    <row r="678" customFormat="false" ht="12.8" hidden="false" customHeight="false" outlineLevel="0" collapsed="false">
      <c r="K678" s="0" t="s">
        <v>687</v>
      </c>
      <c r="L678" s="0" t="str">
        <f aca="false">1000&amp;""</f>
        <v>1000</v>
      </c>
    </row>
    <row r="679" customFormat="false" ht="12.8" hidden="false" customHeight="false" outlineLevel="0" collapsed="false">
      <c r="K679" s="0" t="s">
        <v>688</v>
      </c>
      <c r="L679" s="0" t="str">
        <f aca="false">D4&amp;"x"</f>
        <v>x</v>
      </c>
    </row>
    <row r="680" customFormat="false" ht="12.8" hidden="false" customHeight="false" outlineLevel="0" collapsed="false">
      <c r="K680" s="0" t="s">
        <v>689</v>
      </c>
      <c r="L680" s="0" t="str">
        <f aca="false">D4&amp;D4</f>
        <v/>
      </c>
    </row>
    <row r="681" customFormat="false" ht="12.8" hidden="false" customHeight="false" outlineLevel="0" collapsed="false">
      <c r="K681" s="0" t="s">
        <v>690</v>
      </c>
      <c r="L681" s="0" t="str">
        <f aca="false">A1&amp;B1</f>
        <v>1apple</v>
      </c>
    </row>
    <row r="682" customFormat="false" ht="12.8" hidden="false" customHeight="false" outlineLevel="0" collapsed="false">
      <c r="K682" s="0" t="s">
        <v>691</v>
      </c>
      <c r="L682" s="0" t="str">
        <f aca="false">E1&amp;""</f>
        <v>45306</v>
      </c>
    </row>
    <row r="683" customFormat="false" ht="12.8" hidden="false" customHeight="false" outlineLevel="0" collapsed="false">
      <c r="K683" s="0" t="s">
        <v>692</v>
      </c>
      <c r="L683" s="0" t="str">
        <f aca="false">C1&amp;""</f>
        <v>10.5</v>
      </c>
    </row>
    <row r="684" customFormat="false" ht="12.8" hidden="false" customHeight="false" outlineLevel="0" collapsed="false">
      <c r="K684" s="0" t="s">
        <v>693</v>
      </c>
      <c r="L684" s="0" t="n">
        <f aca="false">0.1+0.2</f>
        <v>0.3</v>
      </c>
    </row>
    <row r="685" customFormat="false" ht="12.8" hidden="false" customHeight="false" outlineLevel="0" collapsed="false">
      <c r="K685" s="0" t="s">
        <v>694</v>
      </c>
      <c r="L685" s="1" t="b">
        <f aca="false">0.1+0.2=0.3</f>
        <v>1</v>
      </c>
    </row>
    <row r="686" customFormat="false" ht="12.8" hidden="false" customHeight="false" outlineLevel="0" collapsed="false">
      <c r="K686" s="0" t="s">
        <v>695</v>
      </c>
      <c r="L686" s="0" t="n">
        <f aca="false">1/3</f>
        <v>0.333333333333333</v>
      </c>
    </row>
    <row r="687" customFormat="false" ht="12.8" hidden="false" customHeight="false" outlineLevel="0" collapsed="false">
      <c r="K687" s="0" t="s">
        <v>696</v>
      </c>
      <c r="L687" s="0" t="n">
        <f aca="false">2^0.5</f>
        <v>1.4142135623731</v>
      </c>
    </row>
    <row r="688" customFormat="false" ht="12.8" hidden="false" customHeight="false" outlineLevel="0" collapsed="false">
      <c r="K688" s="0" t="s">
        <v>697</v>
      </c>
      <c r="L688" s="1" t="b">
        <f aca="false">1&lt;2</f>
        <v>1</v>
      </c>
    </row>
    <row r="689" customFormat="false" ht="12.8" hidden="false" customHeight="false" outlineLevel="0" collapsed="false">
      <c r="K689" s="0" t="s">
        <v>698</v>
      </c>
      <c r="L689" s="1" t="b">
        <f aca="false">2&lt;=2</f>
        <v>1</v>
      </c>
    </row>
    <row r="690" customFormat="false" ht="12.8" hidden="false" customHeight="false" outlineLevel="0" collapsed="false">
      <c r="K690" s="0" t="s">
        <v>699</v>
      </c>
      <c r="L690" s="1" t="b">
        <f aca="false">1&lt;&gt;1</f>
        <v>0</v>
      </c>
    </row>
    <row r="691" customFormat="false" ht="12.8" hidden="false" customHeight="false" outlineLevel="0" collapsed="false">
      <c r="K691" s="0" t="s">
        <v>700</v>
      </c>
      <c r="L691" s="1" t="b">
        <f aca="false">1=1</f>
        <v>1</v>
      </c>
    </row>
    <row r="692" customFormat="false" ht="12.8" hidden="false" customHeight="false" outlineLevel="0" collapsed="false">
      <c r="K692" s="0" t="s">
        <v>701</v>
      </c>
      <c r="L692" s="1" t="b">
        <f aca="false">"a"="A"</f>
        <v>1</v>
      </c>
    </row>
    <row r="693" customFormat="false" ht="12.8" hidden="false" customHeight="false" outlineLevel="0" collapsed="false">
      <c r="K693" s="0" t="s">
        <v>702</v>
      </c>
      <c r="L693" s="1" t="b">
        <f aca="false">"a"="b"</f>
        <v>0</v>
      </c>
    </row>
    <row r="694" customFormat="false" ht="12.8" hidden="false" customHeight="false" outlineLevel="0" collapsed="false">
      <c r="K694" s="0" t="s">
        <v>703</v>
      </c>
      <c r="L694" s="1" t="b">
        <f aca="false">"a"&lt;"b"</f>
        <v>1</v>
      </c>
    </row>
    <row r="695" customFormat="false" ht="12.8" hidden="false" customHeight="false" outlineLevel="0" collapsed="false">
      <c r="K695" s="0" t="s">
        <v>704</v>
      </c>
      <c r="L695" s="1" t="b">
        <f aca="false">"B"&lt;"a"</f>
        <v>0</v>
      </c>
    </row>
    <row r="696" customFormat="false" ht="12.8" hidden="false" customHeight="false" outlineLevel="0" collapsed="false">
      <c r="K696" s="0" t="s">
        <v>705</v>
      </c>
      <c r="L696" s="1" t="b">
        <f aca="false">"apple"&lt;"banana"</f>
        <v>1</v>
      </c>
    </row>
    <row r="697" customFormat="false" ht="12.8" hidden="false" customHeight="false" outlineLevel="0" collapsed="false">
      <c r="K697" s="0" t="s">
        <v>706</v>
      </c>
      <c r="L697" s="1" t="b">
        <f aca="false">"a"&gt;1</f>
        <v>1</v>
      </c>
    </row>
    <row r="698" customFormat="false" ht="12.8" hidden="false" customHeight="false" outlineLevel="0" collapsed="false">
      <c r="K698" s="0" t="s">
        <v>707</v>
      </c>
      <c r="L698" s="1" t="b">
        <f aca="false">1&gt;"a"</f>
        <v>0</v>
      </c>
    </row>
    <row r="699" customFormat="false" ht="12.8" hidden="false" customHeight="false" outlineLevel="0" collapsed="false">
      <c r="K699" s="0" t="s">
        <v>708</v>
      </c>
      <c r="L699" s="1" t="b">
        <f aca="false">"1"=1</f>
        <v>0</v>
      </c>
    </row>
    <row r="700" customFormat="false" ht="12.8" hidden="false" customHeight="false" outlineLevel="0" collapsed="false">
      <c r="K700" s="0" t="s">
        <v>709</v>
      </c>
      <c r="L700" s="1" t="b">
        <f aca="false">"1"&gt;1</f>
        <v>1</v>
      </c>
    </row>
    <row r="701" customFormat="false" ht="12.8" hidden="false" customHeight="false" outlineLevel="0" collapsed="false">
      <c r="K701" s="0" t="s">
        <v>710</v>
      </c>
      <c r="L701" s="1" t="b">
        <f aca="false">TRUE()&gt;1</f>
        <v>0</v>
      </c>
    </row>
    <row r="702" customFormat="false" ht="12.8" hidden="false" customHeight="false" outlineLevel="0" collapsed="false">
      <c r="K702" s="0" t="s">
        <v>711</v>
      </c>
      <c r="L702" s="1" t="b">
        <f aca="false">TRUE()&gt;"a"</f>
        <v>0</v>
      </c>
    </row>
    <row r="703" customFormat="false" ht="12.8" hidden="false" customHeight="false" outlineLevel="0" collapsed="false">
      <c r="K703" s="0" t="s">
        <v>712</v>
      </c>
      <c r="L703" s="1" t="b">
        <f aca="false">FALSE()&gt;"zzz"</f>
        <v>0</v>
      </c>
    </row>
    <row r="704" customFormat="false" ht="12.8" hidden="false" customHeight="false" outlineLevel="0" collapsed="false">
      <c r="K704" s="0" t="s">
        <v>713</v>
      </c>
      <c r="L704" s="1" t="b">
        <f aca="false">TRUE()=1</f>
        <v>1</v>
      </c>
    </row>
    <row r="705" customFormat="false" ht="12.8" hidden="false" customHeight="false" outlineLevel="0" collapsed="false">
      <c r="K705" s="0" t="s">
        <v>714</v>
      </c>
      <c r="L705" s="1" t="b">
        <f aca="false">FALSE()=0</f>
        <v>1</v>
      </c>
    </row>
    <row r="706" customFormat="false" ht="12.8" hidden="false" customHeight="false" outlineLevel="0" collapsed="false">
      <c r="K706" s="0" t="s">
        <v>715</v>
      </c>
      <c r="L706" s="1" t="b">
        <f aca="false">D4=0</f>
        <v>1</v>
      </c>
    </row>
    <row r="707" customFormat="false" ht="12.8" hidden="false" customHeight="false" outlineLevel="0" collapsed="false">
      <c r="K707" s="0" t="s">
        <v>716</v>
      </c>
      <c r="L707" s="1" t="b">
        <f aca="false">D4=""</f>
        <v>1</v>
      </c>
    </row>
    <row r="708" customFormat="false" ht="12.8" hidden="false" customHeight="false" outlineLevel="0" collapsed="false">
      <c r="K708" s="0" t="s">
        <v>717</v>
      </c>
      <c r="L708" s="1" t="b">
        <f aca="false">D3=""</f>
        <v>1</v>
      </c>
    </row>
    <row r="709" customFormat="false" ht="12.8" hidden="false" customHeight="false" outlineLevel="0" collapsed="false">
      <c r="K709" s="0" t="s">
        <v>718</v>
      </c>
      <c r="L709" s="1" t="b">
        <f aca="false">D4=FALSE()</f>
        <v>1</v>
      </c>
    </row>
    <row r="710" customFormat="false" ht="12.8" hidden="false" customHeight="false" outlineLevel="0" collapsed="false">
      <c r="K710" s="0" t="s">
        <v>719</v>
      </c>
      <c r="L710" s="1" t="b">
        <f aca="false">A1=1</f>
        <v>1</v>
      </c>
    </row>
    <row r="711" customFormat="false" ht="12.8" hidden="false" customHeight="false" outlineLevel="0" collapsed="false">
      <c r="K711" s="0" t="s">
        <v>720</v>
      </c>
      <c r="L711" s="1" t="b">
        <f aca="false">B1="APPLE"</f>
        <v>1</v>
      </c>
    </row>
    <row r="712" customFormat="false" ht="12.8" hidden="false" customHeight="false" outlineLevel="0" collapsed="false">
      <c r="K712" s="0" t="s">
        <v>721</v>
      </c>
      <c r="L712" s="1" t="b">
        <f aca="false">B1&gt;A1</f>
        <v>1</v>
      </c>
    </row>
    <row r="713" customFormat="false" ht="12.8" hidden="false" customHeight="false" outlineLevel="0" collapsed="false">
      <c r="K713" s="0" t="s">
        <v>722</v>
      </c>
      <c r="L713" s="1" t="b">
        <f aca="false">E4&lt;1</f>
        <v>1</v>
      </c>
    </row>
    <row r="714" customFormat="false" ht="12.8" hidden="false" customHeight="false" outlineLevel="0" collapsed="false">
      <c r="K714" s="0" t="s">
        <v>723</v>
      </c>
      <c r="L714" s="1" t="b">
        <f aca="false">""&lt;"a"</f>
        <v>1</v>
      </c>
    </row>
    <row r="715" customFormat="false" ht="12.8" hidden="false" customHeight="false" outlineLevel="0" collapsed="false">
      <c r="K715" s="0" t="s">
        <v>724</v>
      </c>
      <c r="L715" s="1" t="b">
        <f aca="false">""=0</f>
        <v>0</v>
      </c>
    </row>
    <row r="716" customFormat="false" ht="12.8" hidden="false" customHeight="false" outlineLevel="0" collapsed="false">
      <c r="K716" s="0" t="s">
        <v>725</v>
      </c>
      <c r="L716" s="1" t="b">
        <f aca="false">"a"&lt;&gt;"A"</f>
        <v>0</v>
      </c>
    </row>
    <row r="717" customFormat="false" ht="12.8" hidden="false" customHeight="false" outlineLevel="0" collapsed="false">
      <c r="K717" s="0" t="s">
        <v>726</v>
      </c>
      <c r="L717" s="0" t="e">
        <f aca="false">H1=1</f>
        <v>#DIV/0!</v>
      </c>
    </row>
    <row r="718" customFormat="false" ht="12.8" hidden="false" customHeight="false" outlineLevel="0" collapsed="false">
      <c r="K718" s="0" t="s">
        <v>727</v>
      </c>
      <c r="L718" s="0" t="e">
        <f aca="false">H1&gt;1</f>
        <v>#DIV/0!</v>
      </c>
    </row>
    <row r="719" customFormat="false" ht="12.8" hidden="false" customHeight="false" outlineLevel="0" collapsed="false">
      <c r="K719" s="0" t="s">
        <v>728</v>
      </c>
      <c r="L719" s="1" t="b">
        <f aca="false">1&lt;&gt;"1"</f>
        <v>1</v>
      </c>
    </row>
    <row r="720" customFormat="false" ht="12.8" hidden="false" customHeight="false" outlineLevel="0" collapsed="false">
      <c r="K720" s="0" t="s">
        <v>729</v>
      </c>
      <c r="L720" s="1" t="b">
        <f aca="false">C2&lt;0</f>
        <v>1</v>
      </c>
    </row>
    <row r="721" customFormat="false" ht="12.8" hidden="false" customHeight="false" outlineLevel="0" collapsed="false">
      <c r="K721" s="0" t="s">
        <v>730</v>
      </c>
      <c r="L721" s="1" t="b">
        <f aca="false">D3=D4</f>
        <v>1</v>
      </c>
    </row>
    <row r="722" customFormat="false" ht="12.8" hidden="false" customHeight="false" outlineLevel="0" collapsed="false">
      <c r="K722" s="0" t="s">
        <v>731</v>
      </c>
      <c r="L722" s="1" t="b">
        <f aca="false">1+1=2</f>
        <v>1</v>
      </c>
    </row>
    <row r="723" customFormat="false" ht="12.8" hidden="false" customHeight="false" outlineLevel="0" collapsed="false">
      <c r="K723" s="0" t="s">
        <v>732</v>
      </c>
      <c r="L723" s="1" t="b">
        <f aca="false">2&gt;1=TRUE()</f>
        <v>1</v>
      </c>
    </row>
    <row r="724" customFormat="false" ht="12.8" hidden="false" customHeight="false" outlineLevel="0" collapsed="false">
      <c r="K724" s="0" t="s">
        <v>733</v>
      </c>
      <c r="L724" s="1" t="b">
        <f aca="false">"a"&amp;"b"="ab"</f>
        <v>1</v>
      </c>
    </row>
    <row r="725" customFormat="false" ht="12.8" hidden="false" customHeight="false" outlineLevel="0" collapsed="false">
      <c r="K725" s="0" t="s">
        <v>734</v>
      </c>
      <c r="L725" s="1" t="b">
        <f aca="false">1&amp;1=11</f>
        <v>0</v>
      </c>
    </row>
    <row r="726" customFormat="false" ht="12.8" hidden="false" customHeight="false" outlineLevel="0" collapsed="false">
      <c r="K726" s="0" t="s">
        <v>735</v>
      </c>
      <c r="L726" s="0" t="e">
        <f aca="false">1/0</f>
        <v>#DIV/0!</v>
      </c>
    </row>
    <row r="727" customFormat="false" ht="12.8" hidden="false" customHeight="false" outlineLevel="0" collapsed="false">
      <c r="K727" s="0" t="s">
        <v>736</v>
      </c>
      <c r="L727" s="0" t="e">
        <f aca="false">0/0</f>
        <v>#DIV/0!</v>
      </c>
    </row>
    <row r="728" customFormat="false" ht="12.8" hidden="false" customHeight="false" outlineLevel="0" collapsed="false">
      <c r="K728" s="0" t="s">
        <v>737</v>
      </c>
      <c r="L728" s="0" t="e">
        <f aca="false">1/D4</f>
        <v>#DIV/0!</v>
      </c>
    </row>
    <row r="729" customFormat="false" ht="12.8" hidden="false" customHeight="false" outlineLevel="0" collapsed="false">
      <c r="K729" s="0" t="s">
        <v>738</v>
      </c>
      <c r="L729" s="0" t="n">
        <f aca="false">D4/1</f>
        <v>0</v>
      </c>
    </row>
    <row r="730" customFormat="false" ht="12.8" hidden="false" customHeight="false" outlineLevel="0" collapsed="false">
      <c r="K730" s="0" t="s">
        <v>739</v>
      </c>
      <c r="L730" s="0" t="n">
        <f aca="false">"3"+1</f>
        <v>4</v>
      </c>
    </row>
    <row r="731" customFormat="false" ht="12.8" hidden="false" customHeight="false" outlineLevel="0" collapsed="false">
      <c r="K731" s="0" t="s">
        <v>740</v>
      </c>
      <c r="L731" s="0" t="e">
        <f aca="false">"a"+1</f>
        <v>#VALUE!</v>
      </c>
    </row>
    <row r="732" customFormat="false" ht="12.8" hidden="false" customHeight="false" outlineLevel="0" collapsed="false">
      <c r="K732" s="0" t="s">
        <v>741</v>
      </c>
      <c r="L732" s="0" t="n">
        <f aca="false">TRUE()+1</f>
        <v>2</v>
      </c>
    </row>
    <row r="733" customFormat="false" ht="12.8" hidden="false" customHeight="false" outlineLevel="0" collapsed="false">
      <c r="K733" s="0" t="s">
        <v>742</v>
      </c>
      <c r="L733" s="0" t="n">
        <f aca="false">TRUE()+TRUE()</f>
        <v>2</v>
      </c>
    </row>
    <row r="734" customFormat="false" ht="12.8" hidden="false" customHeight="false" outlineLevel="0" collapsed="false">
      <c r="K734" s="0" t="s">
        <v>743</v>
      </c>
      <c r="L734" s="0" t="n">
        <f aca="false">FALSE()*5</f>
        <v>0</v>
      </c>
    </row>
    <row r="735" customFormat="false" ht="12.8" hidden="false" customHeight="false" outlineLevel="0" collapsed="false">
      <c r="K735" s="0" t="s">
        <v>744</v>
      </c>
      <c r="L735" s="0" t="n">
        <f aca="false">D4+1</f>
        <v>1</v>
      </c>
    </row>
    <row r="736" customFormat="false" ht="12.8" hidden="false" customHeight="false" outlineLevel="0" collapsed="false">
      <c r="K736" s="0" t="s">
        <v>745</v>
      </c>
      <c r="L736" s="0" t="n">
        <f aca="false">D4*5</f>
        <v>0</v>
      </c>
    </row>
    <row r="737" customFormat="false" ht="12.8" hidden="false" customHeight="false" outlineLevel="0" collapsed="false">
      <c r="K737" s="0" t="s">
        <v>746</v>
      </c>
      <c r="L737" s="0" t="e">
        <f aca="false">D3+1</f>
        <v>#VALUE!</v>
      </c>
    </row>
    <row r="738" customFormat="false" ht="12.8" hidden="false" customHeight="false" outlineLevel="0" collapsed="false">
      <c r="K738" s="0" t="s">
        <v>747</v>
      </c>
      <c r="L738" s="0" t="n">
        <f aca="false">D5+1</f>
        <v>43</v>
      </c>
    </row>
    <row r="739" customFormat="false" ht="12.8" hidden="false" customHeight="false" outlineLevel="0" collapsed="false">
      <c r="K739" s="0" t="s">
        <v>748</v>
      </c>
      <c r="L739" s="0" t="e">
        <f aca="false">D6+1</f>
        <v>#VALUE!</v>
      </c>
    </row>
    <row r="740" customFormat="false" ht="12.8" hidden="false" customHeight="false" outlineLevel="0" collapsed="false">
      <c r="K740" s="0" t="s">
        <v>749</v>
      </c>
      <c r="L740" s="0" t="e">
        <f aca="false">""+1</f>
        <v>#VALUE!</v>
      </c>
    </row>
    <row r="741" customFormat="false" ht="12.8" hidden="false" customHeight="false" outlineLevel="0" collapsed="false">
      <c r="K741" s="0" t="s">
        <v>750</v>
      </c>
      <c r="L741" s="0" t="n">
        <f aca="false">" 3 "+1</f>
        <v>4</v>
      </c>
    </row>
    <row r="742" customFormat="false" ht="12.8" hidden="false" customHeight="false" outlineLevel="0" collapsed="false">
      <c r="K742" s="0" t="s">
        <v>751</v>
      </c>
      <c r="L742" s="0" t="n">
        <f aca="false">"1e2"+1</f>
        <v>101</v>
      </c>
    </row>
    <row r="743" customFormat="false" ht="12.8" hidden="false" customHeight="false" outlineLevel="0" collapsed="false">
      <c r="K743" s="0" t="s">
        <v>752</v>
      </c>
      <c r="L743" s="0" t="e">
        <f aca="false">"0x10"+1</f>
        <v>#VALUE!</v>
      </c>
    </row>
    <row r="744" customFormat="false" ht="12.8" hidden="false" customHeight="false" outlineLevel="0" collapsed="false">
      <c r="K744" s="0" t="s">
        <v>753</v>
      </c>
      <c r="L744" s="0" t="e">
        <f aca="false">B1+1</f>
        <v>#VALUE!</v>
      </c>
    </row>
    <row r="745" customFormat="false" ht="12.8" hidden="false" customHeight="false" outlineLevel="0" collapsed="false">
      <c r="K745" s="0" t="s">
        <v>754</v>
      </c>
      <c r="L745" s="0" t="n">
        <f aca="false">A1+A2*A3</f>
        <v>7</v>
      </c>
    </row>
    <row r="746" customFormat="false" ht="12.8" hidden="false" customHeight="false" outlineLevel="0" collapsed="false">
      <c r="K746" s="0" t="s">
        <v>755</v>
      </c>
      <c r="L746" s="0" t="n">
        <f aca="false">C1*2</f>
        <v>21</v>
      </c>
    </row>
    <row r="747" customFormat="false" ht="12.8" hidden="false" customHeight="false" outlineLevel="0" collapsed="false">
      <c r="K747" s="0" t="s">
        <v>756</v>
      </c>
      <c r="L747" s="0" t="n">
        <f aca="false">C6/A2</f>
        <v>500000</v>
      </c>
    </row>
    <row r="748" customFormat="false" ht="12.8" hidden="false" customHeight="false" outlineLevel="0" collapsed="false">
      <c r="K748" s="0" t="s">
        <v>757</v>
      </c>
      <c r="L748" s="3" t="n">
        <f aca="false">E1+1</f>
        <v>45307</v>
      </c>
    </row>
    <row r="749" customFormat="false" ht="12.8" hidden="false" customHeight="false" outlineLevel="0" collapsed="false">
      <c r="K749" s="0" t="s">
        <v>758</v>
      </c>
      <c r="L749" s="0" t="n">
        <f aca="false">E4*2</f>
        <v>1</v>
      </c>
    </row>
    <row r="750" customFormat="false" ht="12.8" hidden="false" customHeight="false" outlineLevel="0" collapsed="false">
      <c r="K750" s="0" t="s">
        <v>759</v>
      </c>
      <c r="L750" s="0" t="n">
        <f aca="false">-D4</f>
        <v>-0</v>
      </c>
    </row>
    <row r="751" customFormat="false" ht="12.8" hidden="false" customHeight="false" outlineLevel="0" collapsed="false">
      <c r="K751" s="0" t="s">
        <v>760</v>
      </c>
      <c r="L751" s="1" t="n">
        <f aca="false">-TRUE()</f>
        <v>-1</v>
      </c>
    </row>
    <row r="752" customFormat="false" ht="12.8" hidden="false" customHeight="false" outlineLevel="0" collapsed="false">
      <c r="K752" s="0" t="s">
        <v>761</v>
      </c>
      <c r="L752" s="0" t="n">
        <f aca="false">-"3"</f>
        <v>-3</v>
      </c>
    </row>
    <row r="753" customFormat="false" ht="12.8" hidden="false" customHeight="false" outlineLevel="0" collapsed="false">
      <c r="K753" s="0" t="s">
        <v>762</v>
      </c>
      <c r="L753" s="0" t="e">
        <f aca="false">-B1</f>
        <v>#VALUE!</v>
      </c>
    </row>
    <row r="754" customFormat="false" ht="12.8" hidden="false" customHeight="false" outlineLevel="0" collapsed="false">
      <c r="K754" s="0" t="s">
        <v>763</v>
      </c>
      <c r="L754" s="0" t="str">
        <f aca="false">+B1</f>
        <v>apple</v>
      </c>
    </row>
    <row r="755" customFormat="false" ht="12.8" hidden="false" customHeight="false" outlineLevel="0" collapsed="false">
      <c r="K755" s="0" t="s">
        <v>764</v>
      </c>
      <c r="L755" s="0" t="n">
        <f aca="false">+D4</f>
        <v>0</v>
      </c>
    </row>
    <row r="756" customFormat="false" ht="12.8" hidden="false" customHeight="false" outlineLevel="0" collapsed="false">
      <c r="K756" s="0" t="s">
        <v>765</v>
      </c>
      <c r="L756" s="0" t="n">
        <f aca="false">"5"*"2"</f>
        <v>10</v>
      </c>
    </row>
    <row r="757" customFormat="false" ht="12.8" hidden="false" customHeight="false" outlineLevel="0" collapsed="false">
      <c r="K757" s="0" t="s">
        <v>766</v>
      </c>
      <c r="L757" s="0" t="n">
        <f aca="false">1-"1"</f>
        <v>0</v>
      </c>
    </row>
    <row r="758" customFormat="false" ht="12.8" hidden="false" customHeight="false" outlineLevel="0" collapsed="false">
      <c r="K758" s="0" t="s">
        <v>767</v>
      </c>
      <c r="L758" s="0" t="n">
        <f aca="false">2^"3"</f>
        <v>8</v>
      </c>
    </row>
    <row r="759" customFormat="false" ht="12.8" hidden="false" customHeight="false" outlineLevel="0" collapsed="false">
      <c r="K759" s="0" t="s">
        <v>768</v>
      </c>
      <c r="L759" s="0" t="e">
        <f aca="false">H1+1</f>
        <v>#DIV/0!</v>
      </c>
    </row>
    <row r="760" customFormat="false" ht="12.8" hidden="false" customHeight="false" outlineLevel="0" collapsed="false">
      <c r="K760" s="0" t="s">
        <v>769</v>
      </c>
      <c r="L760" s="0" t="e">
        <f aca="false">1+H2</f>
        <v>#N/A</v>
      </c>
    </row>
    <row r="761" customFormat="false" ht="12.8" hidden="false" customHeight="false" outlineLevel="0" collapsed="false">
      <c r="K761" s="0" t="s">
        <v>770</v>
      </c>
      <c r="L761" s="0" t="e">
        <f aca="false">H1+H2</f>
        <v>#N/A</v>
      </c>
    </row>
    <row r="762" customFormat="false" ht="12.8" hidden="false" customHeight="false" outlineLevel="0" collapsed="false">
      <c r="K762" s="0" t="s">
        <v>771</v>
      </c>
      <c r="L762" s="0" t="e">
        <f aca="false">H2+H1</f>
        <v>#DIV/0!</v>
      </c>
    </row>
    <row r="763" customFormat="false" ht="12.8" hidden="false" customHeight="false" outlineLevel="0" collapsed="false">
      <c r="K763" s="0" t="s">
        <v>772</v>
      </c>
      <c r="L763" s="6" t="n">
        <f aca="false">10%+A1</f>
        <v>1.1</v>
      </c>
    </row>
    <row r="764" customFormat="false" ht="12.8" hidden="false" customHeight="false" outlineLevel="0" collapsed="false">
      <c r="K764" s="0" t="s">
        <v>773</v>
      </c>
      <c r="L764" s="0" t="e">
        <f aca="false">1E+308*10</f>
        <v>#NUM!</v>
      </c>
    </row>
    <row r="765" customFormat="false" ht="12.8" hidden="false" customHeight="false" outlineLevel="0" collapsed="false">
      <c r="K765" s="0" t="s">
        <v>774</v>
      </c>
      <c r="L765" s="0" t="e">
        <f aca="false">-1E+308*10</f>
        <v>#NUM!</v>
      </c>
    </row>
    <row r="766" customFormat="false" ht="12.8" hidden="false" customHeight="false" outlineLevel="0" collapsed="false">
      <c r="K766" s="0" t="s">
        <v>775</v>
      </c>
      <c r="L766" s="0" t="n">
        <f aca="false">0^0</f>
        <v>1</v>
      </c>
    </row>
    <row r="767" customFormat="false" ht="12.8" hidden="false" customHeight="false" outlineLevel="0" collapsed="false">
      <c r="K767" s="0" t="s">
        <v>776</v>
      </c>
      <c r="L767" s="0" t="n">
        <f aca="false">(-8)^(1/3)</f>
        <v>-2</v>
      </c>
    </row>
    <row r="768" customFormat="false" ht="12.8" hidden="false" customHeight="false" outlineLevel="0" collapsed="false">
      <c r="K768" s="0" t="s">
        <v>777</v>
      </c>
      <c r="L768" s="0" t="n">
        <f aca="false">4^0.5</f>
        <v>2</v>
      </c>
    </row>
    <row r="769" customFormat="false" ht="12.8" hidden="false" customHeight="false" outlineLevel="0" collapsed="false">
      <c r="K769" s="0" t="s">
        <v>778</v>
      </c>
      <c r="L769" s="0" t="n">
        <f aca="false">Other!A1*2</f>
        <v>14</v>
      </c>
    </row>
    <row r="770" customFormat="false" ht="12.8" hidden="false" customHeight="false" outlineLevel="0" collapsed="false">
      <c r="K770" s="0" t="s">
        <v>779</v>
      </c>
      <c r="L770" s="0" t="str">
        <f aca="false">Other!B1</f>
        <v>remote</v>
      </c>
    </row>
    <row r="771" customFormat="false" ht="12.8" hidden="false" customHeight="false" outlineLevel="0" collapsed="false">
      <c r="K771" s="0" t="s">
        <v>780</v>
      </c>
      <c r="L771" s="0" t="str">
        <f aca="false">Other!B1&amp;"!"</f>
        <v>remote!</v>
      </c>
    </row>
    <row r="772" customFormat="false" ht="12.8" hidden="false" customHeight="false" outlineLevel="0" collapsed="false">
      <c r="K772" s="0" t="s">
        <v>781</v>
      </c>
      <c r="L772" s="0" t="n">
        <f aca="false">Other!A1+A1</f>
        <v>8</v>
      </c>
    </row>
    <row r="773" customFormat="false" ht="12.8" hidden="false" customHeight="false" outlineLevel="0" collapsed="false">
      <c r="K773" s="0" t="s">
        <v>782</v>
      </c>
      <c r="L773" s="0" t="n">
        <f aca="false">SUM(Data!A1:A6)</f>
        <v>21</v>
      </c>
    </row>
    <row r="774" customFormat="false" ht="12.8" hidden="false" customHeight="false" outlineLevel="0" collapsed="false">
      <c r="K774" s="0" t="s">
        <v>783</v>
      </c>
      <c r="L774" s="0" t="n">
        <f aca="false">SUM(Other!A1:B1)</f>
        <v>7</v>
      </c>
    </row>
    <row r="775" customFormat="false" ht="12.8" hidden="false" customHeight="false" outlineLevel="0" collapsed="false">
      <c r="K775" s="0" t="s">
        <v>784</v>
      </c>
      <c r="L775" s="0" t="n">
        <f aca="false">Data!A1</f>
        <v>1</v>
      </c>
    </row>
    <row r="776" customFormat="false" ht="12.8" hidden="false" customHeight="false" outlineLevel="0" collapsed="false">
      <c r="K776" s="0" t="s">
        <v>785</v>
      </c>
      <c r="L776" s="0" t="str">
        <f aca="false">Data!B1&amp;Other!B1</f>
        <v>appleremote</v>
      </c>
    </row>
    <row r="777" customFormat="false" ht="12.8" hidden="false" customHeight="false" outlineLevel="0" collapsed="false">
      <c r="K777" s="0" t="s">
        <v>45</v>
      </c>
      <c r="L777" s="0" t="n">
        <f aca="false">COUNT(A1:D6)</f>
        <v>14</v>
      </c>
    </row>
    <row r="778" customFormat="false" ht="12.8" hidden="false" customHeight="false" outlineLevel="0" collapsed="false">
      <c r="K778" s="0" t="s">
        <v>53</v>
      </c>
      <c r="L778" s="0" t="n">
        <f aca="false">COUNTA(A1:D6)</f>
        <v>23</v>
      </c>
    </row>
    <row r="779" customFormat="false" ht="12.8" hidden="false" customHeight="false" outlineLevel="0" collapsed="false">
      <c r="K779" s="0" t="s">
        <v>786</v>
      </c>
      <c r="L779" s="0" t="n">
        <f aca="false">COUNT(Data!A1:H6)</f>
        <v>22</v>
      </c>
    </row>
    <row r="780" customFormat="false" ht="12.8" hidden="false" customHeight="false" outlineLevel="0" collapsed="false">
      <c r="K780" s="0" t="s">
        <v>787</v>
      </c>
      <c r="L780" s="0" t="n">
        <f aca="false">COUNTA(Data!A1:H6)</f>
        <v>37</v>
      </c>
    </row>
    <row r="781" customFormat="false" ht="12.8" hidden="false" customHeight="false" outlineLevel="0" collapsed="false">
      <c r="K781" s="0" t="s">
        <v>788</v>
      </c>
      <c r="L781" s="0" t="n">
        <f aca="false">SUM(A1:A3,Other!A1)</f>
        <v>13</v>
      </c>
    </row>
    <row r="782" customFormat="false" ht="12.8" hidden="false" customHeight="false" outlineLevel="0" collapsed="false">
      <c r="K782" s="0" t="s">
        <v>789</v>
      </c>
      <c r="L782" s="0" t="n">
        <f aca="false">AVERAGE(Other!A1,A1)</f>
        <v>4</v>
      </c>
    </row>
    <row r="783" customFormat="false" ht="12.8" hidden="false" customHeight="false" outlineLevel="0" collapsed="false">
      <c r="K783" s="0" t="s">
        <v>790</v>
      </c>
      <c r="L783" s="0" t="n">
        <f aca="false">SUM($A$1:$A$3)</f>
        <v>6</v>
      </c>
    </row>
    <row r="784" customFormat="false" ht="12.8" hidden="false" customHeight="false" outlineLevel="0" collapsed="false">
      <c r="K784" s="0" t="s">
        <v>791</v>
      </c>
      <c r="L784" s="0" t="n">
        <f aca="false">SUM(A$1:A3)</f>
        <v>6</v>
      </c>
    </row>
    <row r="785" customFormat="false" ht="12.8" hidden="false" customHeight="false" outlineLevel="0" collapsed="false">
      <c r="K785" s="0" t="s">
        <v>792</v>
      </c>
      <c r="L785" s="0" t="n">
        <f aca="false">$A1+A$2</f>
        <v>3</v>
      </c>
    </row>
    <row r="786" customFormat="false" ht="12.8" hidden="false" customHeight="false" outlineLevel="0" collapsed="false">
      <c r="K786" s="0" t="s">
        <v>793</v>
      </c>
      <c r="L786" s="0" t="str">
        <f aca="false">INDEX(Other!A1:B1,2)</f>
        <v>remote</v>
      </c>
    </row>
    <row r="787" customFormat="false" ht="12.8" hidden="false" customHeight="false" outlineLevel="0" collapsed="false">
      <c r="K787" s="0" t="s">
        <v>794</v>
      </c>
      <c r="L787" s="0" t="n">
        <f aca="false">A1+Other!A1+Data!A2</f>
        <v>10</v>
      </c>
    </row>
    <row r="788" customFormat="false" ht="12.8" hidden="false" customHeight="false" outlineLevel="0" collapsed="false">
      <c r="K788" s="0" t="s">
        <v>795</v>
      </c>
      <c r="L788" s="0" t="n">
        <f aca="false">Z99</f>
        <v>0</v>
      </c>
    </row>
    <row r="789" customFormat="false" ht="12.8" hidden="false" customHeight="false" outlineLevel="0" collapsed="false">
      <c r="K789" s="0" t="s">
        <v>796</v>
      </c>
      <c r="L789" s="0" t="n">
        <f aca="false">Other!Z99</f>
        <v>0</v>
      </c>
    </row>
    <row r="790" customFormat="false" ht="12.8" hidden="false" customHeight="false" outlineLevel="0" collapsed="false">
      <c r="K790" s="0" t="s">
        <v>797</v>
      </c>
      <c r="L790" s="0" t="n">
        <f aca="false">SUM(A:A)</f>
        <v>21</v>
      </c>
    </row>
    <row r="791" customFormat="false" ht="12.8" hidden="false" customHeight="false" outlineLevel="0" collapsed="false">
      <c r="K791" s="0" t="s">
        <v>798</v>
      </c>
      <c r="L791" s="0" t="n">
        <f aca="false">COUNT(A:A)</f>
        <v>6</v>
      </c>
    </row>
    <row r="792" customFormat="false" ht="12.8" hidden="false" customHeight="false" outlineLevel="0" collapsed="false">
      <c r="K792" s="0" t="s">
        <v>799</v>
      </c>
      <c r="L792" s="0" t="n">
        <f aca="false">SUM(A:B)</f>
        <v>21</v>
      </c>
    </row>
    <row r="793" customFormat="false" ht="12.8" hidden="false" customHeight="false" outlineLevel="0" collapsed="false">
      <c r="K793" s="0" t="s">
        <v>800</v>
      </c>
      <c r="L793" s="0" t="n">
        <f aca="false">SUM(C:C)</f>
        <v>1000111.75</v>
      </c>
    </row>
    <row r="794" customFormat="false" ht="12.8" hidden="false" customHeight="false" outlineLevel="0" collapsed="false">
      <c r="K794" s="0" t="s">
        <v>801</v>
      </c>
      <c r="L794" s="0" t="n">
        <f aca="false">Data!A1</f>
        <v>1</v>
      </c>
    </row>
    <row r="795" customFormat="false" ht="12.8" hidden="false" customHeight="false" outlineLevel="0" collapsed="false">
      <c r="K795" s="0" t="s">
        <v>802</v>
      </c>
      <c r="L795" s="0" t="str">
        <f aca="false">Other!B1</f>
        <v>remote</v>
      </c>
    </row>
    <row r="796" customFormat="false" ht="12.8" hidden="false" customHeight="false" outlineLevel="0" collapsed="false">
      <c r="K796" s="0" t="s">
        <v>803</v>
      </c>
      <c r="L796" s="0" t="n">
        <f aca="false">SUM(Data!A1:A3,Other!A1:B1)</f>
        <v>13</v>
      </c>
    </row>
    <row r="797" customFormat="false" ht="12.8" hidden="false" customHeight="false" outlineLevel="0" collapsed="false">
      <c r="K797" s="0" t="s">
        <v>804</v>
      </c>
      <c r="L797" s="0" t="e">
        <f aca="false">Other!A1+H1</f>
        <v>#DIV/0!</v>
      </c>
    </row>
    <row r="798" customFormat="false" ht="12.8" hidden="false" customHeight="false" outlineLevel="0" collapsed="false">
      <c r="K798" s="0" t="s">
        <v>805</v>
      </c>
      <c r="L798" s="0" t="e">
        <f aca="false">SUM(Data!H1:H2)</f>
        <v>#DIV/0!</v>
      </c>
    </row>
    <row r="799" customFormat="false" ht="12.8" hidden="false" customHeight="false" outlineLevel="0" collapsed="false">
      <c r="K799" s="0" t="s">
        <v>806</v>
      </c>
      <c r="L799" s="0" t="n">
        <f aca="false">MAX(Data!C1:C6)-MIN(Other!A1,0)</f>
        <v>1000000</v>
      </c>
    </row>
    <row r="800" customFormat="false" ht="12.8" hidden="false" customHeight="false" outlineLevel="0" collapsed="false">
      <c r="K800" s="0" t="s">
        <v>807</v>
      </c>
      <c r="L800" s="0" t="n">
        <f aca="false">SUM(A1:A3)*Other!A1</f>
        <v>42</v>
      </c>
    </row>
    <row r="801" customFormat="false" ht="12.8" hidden="false" customHeight="false" outlineLevel="0" collapsed="false">
      <c r="K801" s="0" t="s">
        <v>808</v>
      </c>
      <c r="L801" s="0" t="e">
        <f aca="false">#DIV/0!</f>
        <v>#DIV/0!</v>
      </c>
    </row>
    <row r="802" customFormat="false" ht="12.8" hidden="false" customHeight="false" outlineLevel="0" collapsed="false">
      <c r="K802" s="0" t="s">
        <v>809</v>
      </c>
      <c r="L802" s="0" t="e">
        <f aca="false">#N/A</f>
        <v>#N/A</v>
      </c>
    </row>
    <row r="803" customFormat="false" ht="12.8" hidden="false" customHeight="false" outlineLevel="0" collapsed="false">
      <c r="K803" s="0" t="s">
        <v>810</v>
      </c>
      <c r="L803" s="0" t="e">
        <f aca="false">#VALUE!</f>
        <v>#VALUE!</v>
      </c>
    </row>
    <row r="804" customFormat="false" ht="12.8" hidden="false" customHeight="false" outlineLevel="0" collapsed="false">
      <c r="K804" s="0" t="s">
        <v>811</v>
      </c>
      <c r="L804" s="0" t="e">
        <f aca="false">#REF!</f>
        <v>#REF!</v>
      </c>
    </row>
    <row r="805" customFormat="false" ht="12.8" hidden="false" customHeight="false" outlineLevel="0" collapsed="false">
      <c r="K805" s="0" t="s">
        <v>812</v>
      </c>
      <c r="L805" s="0" t="e">
        <f aca="false">#NAME?</f>
        <v>#NAME?</v>
      </c>
    </row>
    <row r="806" customFormat="false" ht="12.8" hidden="false" customHeight="false" outlineLevel="0" collapsed="false">
      <c r="K806" s="0" t="s">
        <v>813</v>
      </c>
      <c r="L806" s="0" t="e">
        <f aca="false">#NUM!</f>
        <v>#NUM!</v>
      </c>
    </row>
    <row r="807" customFormat="false" ht="12.8" hidden="false" customHeight="false" outlineLevel="0" collapsed="false">
      <c r="K807" s="0" t="s">
        <v>814</v>
      </c>
      <c r="L807" s="0" t="e">
        <f aca="false">#NULL!</f>
        <v>#NULL!</v>
      </c>
    </row>
    <row r="808" customFormat="false" ht="12.8" hidden="false" customHeight="false" outlineLevel="0" collapsed="false">
      <c r="K808" s="0" t="s">
        <v>815</v>
      </c>
      <c r="L808" s="0" t="str">
        <f aca="false">IFERROR(#DIV/0!,"e")</f>
        <v>e</v>
      </c>
    </row>
    <row r="809" customFormat="false" ht="12.8" hidden="false" customHeight="false" outlineLevel="0" collapsed="false">
      <c r="K809" s="0" t="s">
        <v>816</v>
      </c>
      <c r="L809" s="0" t="str">
        <f aca="false">IFERROR(#N/A,"e")</f>
        <v>e</v>
      </c>
    </row>
    <row r="810" customFormat="false" ht="12.8" hidden="false" customHeight="false" outlineLevel="0" collapsed="false">
      <c r="K810" s="0" t="s">
        <v>817</v>
      </c>
      <c r="L810" s="0" t="str">
        <f aca="false">IFERROR(#VALUE!,"e")</f>
        <v>e</v>
      </c>
    </row>
    <row r="811" customFormat="false" ht="12.8" hidden="false" customHeight="false" outlineLevel="0" collapsed="false">
      <c r="K811" s="0" t="s">
        <v>818</v>
      </c>
      <c r="L811" s="0" t="str">
        <f aca="false">IFERROR(#REF!,"e")</f>
        <v>e</v>
      </c>
    </row>
    <row r="812" customFormat="false" ht="12.8" hidden="false" customHeight="false" outlineLevel="0" collapsed="false">
      <c r="K812" s="0" t="s">
        <v>819</v>
      </c>
      <c r="L812" s="0" t="str">
        <f aca="false">IFERROR(#NAME?,"e")</f>
        <v>e</v>
      </c>
    </row>
    <row r="813" customFormat="false" ht="12.8" hidden="false" customHeight="false" outlineLevel="0" collapsed="false">
      <c r="K813" s="0" t="s">
        <v>820</v>
      </c>
      <c r="L813" s="0" t="str">
        <f aca="false">IFERROR(#NUM!,"e")</f>
        <v>e</v>
      </c>
    </row>
    <row r="814" customFormat="false" ht="12.8" hidden="false" customHeight="false" outlineLevel="0" collapsed="false">
      <c r="K814" s="0" t="s">
        <v>821</v>
      </c>
      <c r="L814" s="0" t="str">
        <f aca="false">IFERROR(#NULL!,"e")</f>
        <v>e</v>
      </c>
    </row>
    <row r="815" customFormat="false" ht="12.8" hidden="false" customHeight="false" outlineLevel="0" collapsed="false">
      <c r="K815" s="0" t="s">
        <v>822</v>
      </c>
      <c r="L815" s="1" t="b">
        <f aca="false">ISERROR(#DIV/0!)</f>
        <v>1</v>
      </c>
    </row>
    <row r="816" customFormat="false" ht="12.8" hidden="false" customHeight="false" outlineLevel="0" collapsed="false">
      <c r="K816" s="0" t="s">
        <v>823</v>
      </c>
      <c r="L816" s="1" t="b">
        <f aca="false">ISERROR(#N/A)</f>
        <v>1</v>
      </c>
    </row>
    <row r="817" customFormat="false" ht="12.8" hidden="false" customHeight="false" outlineLevel="0" collapsed="false">
      <c r="K817" s="0" t="s">
        <v>824</v>
      </c>
      <c r="L817" s="1" t="b">
        <f aca="false">ISERROR(#VALUE!)</f>
        <v>1</v>
      </c>
    </row>
    <row r="818" customFormat="false" ht="12.8" hidden="false" customHeight="false" outlineLevel="0" collapsed="false">
      <c r="K818" s="0" t="s">
        <v>825</v>
      </c>
      <c r="L818" s="1" t="b">
        <f aca="false">ISERROR(#REF!)</f>
        <v>1</v>
      </c>
    </row>
    <row r="819" customFormat="false" ht="12.8" hidden="false" customHeight="false" outlineLevel="0" collapsed="false">
      <c r="K819" s="0" t="s">
        <v>826</v>
      </c>
      <c r="L819" s="1" t="b">
        <f aca="false">ISERROR(#NAME?)</f>
        <v>1</v>
      </c>
    </row>
    <row r="820" customFormat="false" ht="12.8" hidden="false" customHeight="false" outlineLevel="0" collapsed="false">
      <c r="K820" s="0" t="s">
        <v>827</v>
      </c>
      <c r="L820" s="1" t="b">
        <f aca="false">ISERROR(#NUM!)</f>
        <v>1</v>
      </c>
    </row>
    <row r="821" customFormat="false" ht="12.8" hidden="false" customHeight="false" outlineLevel="0" collapsed="false">
      <c r="K821" s="0" t="s">
        <v>828</v>
      </c>
      <c r="L821" s="1" t="b">
        <f aca="false">ISERROR(#NULL!)</f>
        <v>1</v>
      </c>
    </row>
    <row r="822" customFormat="false" ht="12.8" hidden="false" customHeight="false" outlineLevel="0" collapsed="false">
      <c r="K822" s="0" t="s">
        <v>829</v>
      </c>
      <c r="L822" s="1" t="b">
        <f aca="false">ISNA(#N/A)</f>
        <v>1</v>
      </c>
    </row>
    <row r="823" customFormat="false" ht="12.8" hidden="false" customHeight="false" outlineLevel="0" collapsed="false">
      <c r="K823" s="0" t="s">
        <v>830</v>
      </c>
      <c r="L823" s="1" t="b">
        <f aca="false">ISNA(#DIV/0!)</f>
        <v>0</v>
      </c>
    </row>
    <row r="824" customFormat="false" ht="12.8" hidden="false" customHeight="false" outlineLevel="0" collapsed="false">
      <c r="K824" s="0" t="s">
        <v>831</v>
      </c>
      <c r="L824" s="1" t="b">
        <f aca="false">ISNA(#VALUE!)</f>
        <v>0</v>
      </c>
    </row>
    <row r="825" customFormat="false" ht="12.8" hidden="false" customHeight="false" outlineLevel="0" collapsed="false">
      <c r="K825" s="0" t="s">
        <v>832</v>
      </c>
      <c r="L825" s="1" t="b">
        <f aca="false">ISNA(#REF!)</f>
        <v>0</v>
      </c>
    </row>
    <row r="826" customFormat="false" ht="12.8" hidden="false" customHeight="false" outlineLevel="0" collapsed="false">
      <c r="K826" s="0" t="s">
        <v>833</v>
      </c>
      <c r="L826" s="1" t="b">
        <f aca="false">ISNA(#NAME?)</f>
        <v>0</v>
      </c>
    </row>
    <row r="827" customFormat="false" ht="12.8" hidden="false" customHeight="false" outlineLevel="0" collapsed="false">
      <c r="K827" s="0" t="s">
        <v>834</v>
      </c>
      <c r="L827" s="1" t="b">
        <f aca="false">ISNA(#NUM!)</f>
        <v>0</v>
      </c>
    </row>
    <row r="828" customFormat="false" ht="12.8" hidden="false" customHeight="false" outlineLevel="0" collapsed="false">
      <c r="K828" s="0" t="s">
        <v>835</v>
      </c>
      <c r="L828" s="1" t="b">
        <f aca="false">ISNA(#NULL!)</f>
        <v>0</v>
      </c>
    </row>
    <row r="829" customFormat="false" ht="12.8" hidden="false" customHeight="false" outlineLevel="0" collapsed="false">
      <c r="K829" s="0" t="s">
        <v>735</v>
      </c>
      <c r="L829" s="0" t="e">
        <f aca="false">1/0</f>
        <v>#DIV/0!</v>
      </c>
    </row>
    <row r="830" customFormat="false" ht="12.8" hidden="false" customHeight="false" outlineLevel="0" collapsed="false">
      <c r="K830" s="0" t="s">
        <v>116</v>
      </c>
      <c r="L830" s="0" t="e">
        <f aca="false">SQRT(-1)</f>
        <v>#VALUE!</v>
      </c>
    </row>
    <row r="831" customFormat="false" ht="12.8" hidden="false" customHeight="false" outlineLevel="0" collapsed="false">
      <c r="K831" s="0" t="s">
        <v>485</v>
      </c>
      <c r="L831" s="0" t="e">
        <f aca="false">VLOOKUP(999,F1:G4,2,FALSE())</f>
        <v>#N/A</v>
      </c>
    </row>
    <row r="832" customFormat="false" ht="12.8" hidden="false" customHeight="false" outlineLevel="0" collapsed="false">
      <c r="K832" s="0" t="s">
        <v>836</v>
      </c>
      <c r="L832" s="0" t="e">
        <f aca="false">unknownfn(1)</f>
        <v>#NAME?</v>
      </c>
    </row>
    <row r="833" customFormat="false" ht="12.8" hidden="false" customHeight="false" outlineLevel="0" collapsed="false">
      <c r="K833" s="0" t="s">
        <v>513</v>
      </c>
      <c r="L833" s="0" t="e">
        <f aca="false">INDEX(A1:A6,10)</f>
        <v>#REF!</v>
      </c>
    </row>
    <row r="834" customFormat="false" ht="12.8" hidden="false" customHeight="false" outlineLevel="0" collapsed="false">
      <c r="K834" s="0" t="s">
        <v>458</v>
      </c>
      <c r="L834" s="0" t="e">
        <f aca="false">VALUE("abc")</f>
        <v>#VALUE!</v>
      </c>
    </row>
    <row r="835" customFormat="false" ht="12.8" hidden="false" customHeight="false" outlineLevel="0" collapsed="false">
      <c r="K835" s="0" t="s">
        <v>307</v>
      </c>
      <c r="L835" s="0" t="e">
        <f aca="false">NA()</f>
        <v>#N/A</v>
      </c>
    </row>
    <row r="836" customFormat="false" ht="12.8" hidden="false" customHeight="false" outlineLevel="0" collapsed="false">
      <c r="K836" s="0" t="s">
        <v>837</v>
      </c>
      <c r="L836" s="0" t="e">
        <f aca="false">H1</f>
        <v>#DIV/0!</v>
      </c>
    </row>
    <row r="837" customFormat="false" ht="12.8" hidden="false" customHeight="false" outlineLevel="0" collapsed="false">
      <c r="K837" s="0" t="s">
        <v>312</v>
      </c>
      <c r="L837" s="0" t="e">
        <f aca="false">H2</f>
        <v>#N/A</v>
      </c>
    </row>
    <row r="838" customFormat="false" ht="12.8" hidden="false" customHeight="false" outlineLevel="0" collapsed="false">
      <c r="K838" s="0" t="s">
        <v>770</v>
      </c>
      <c r="L838" s="0" t="e">
        <f aca="false">H1+H2</f>
        <v>#N/A</v>
      </c>
    </row>
    <row r="839" customFormat="false" ht="12.8" hidden="false" customHeight="false" outlineLevel="0" collapsed="false">
      <c r="K839" s="0" t="s">
        <v>20</v>
      </c>
      <c r="L839" s="0" t="e">
        <f aca="false">SUM(H1:H2)</f>
        <v>#DIV/0!</v>
      </c>
    </row>
    <row r="840" customFormat="false" ht="12.8" hidden="false" customHeight="false" outlineLevel="0" collapsed="false">
      <c r="K840" s="0" t="s">
        <v>838</v>
      </c>
      <c r="L840" s="0" t="str">
        <f aca="false">IF(ISERROR(H1),"bad","ok")</f>
        <v>bad</v>
      </c>
    </row>
    <row r="841" customFormat="false" ht="12.8" hidden="false" customHeight="false" outlineLevel="0" collapsed="false">
      <c r="K841" s="0" t="s">
        <v>839</v>
      </c>
      <c r="L841" s="0" t="str">
        <f aca="false">IF(ISNA(H2),"na",IF(ISERROR(H2),"err","ok"))</f>
        <v>na</v>
      </c>
    </row>
    <row r="842" customFormat="false" ht="12.8" hidden="false" customHeight="false" outlineLevel="0" collapsed="false">
      <c r="K842" s="0" t="s">
        <v>840</v>
      </c>
      <c r="L842" s="1" t="b">
        <f aca="false">ISERROR(unknownfn(1))</f>
        <v>1</v>
      </c>
    </row>
    <row r="843" customFormat="false" ht="12.8" hidden="false" customHeight="false" outlineLevel="0" collapsed="false">
      <c r="K843" s="0" t="s">
        <v>247</v>
      </c>
      <c r="L843" s="0" t="str">
        <f aca="false">IFERROR(unknownfn(1),"x")</f>
        <v>x</v>
      </c>
    </row>
    <row r="844" customFormat="false" ht="12.8" hidden="false" customHeight="false" outlineLevel="0" collapsed="false">
      <c r="K844" s="0" t="s">
        <v>841</v>
      </c>
      <c r="L844" s="1" t="b">
        <f aca="false">ISNA(unknownfn(1))</f>
        <v>0</v>
      </c>
    </row>
    <row r="845" customFormat="false" ht="12.8" hidden="false" customHeight="false" outlineLevel="0" collapsed="false">
      <c r="K845" s="0" t="s">
        <v>842</v>
      </c>
      <c r="L845" s="0" t="e">
        <f aca="false">#VALUE!+1</f>
        <v>#VALUE!</v>
      </c>
    </row>
    <row r="846" customFormat="false" ht="12.8" hidden="false" customHeight="false" outlineLevel="0" collapsed="false">
      <c r="K846" s="0" t="s">
        <v>843</v>
      </c>
      <c r="L846" s="0" t="e">
        <f aca="false">ABS(#NUM!)</f>
        <v>#NUM!</v>
      </c>
    </row>
    <row r="847" customFormat="false" ht="12.8" hidden="false" customHeight="false" outlineLevel="0" collapsed="false">
      <c r="K847" s="0" t="s">
        <v>844</v>
      </c>
      <c r="L847" s="0" t="e">
        <f aca="false">#N/A&amp;"x"</f>
        <v>#N/A</v>
      </c>
    </row>
    <row r="848" customFormat="false" ht="12.8" hidden="false" customHeight="false" outlineLevel="0" collapsed="false">
      <c r="K848" s="0" t="s">
        <v>845</v>
      </c>
      <c r="L848" s="0" t="e">
        <f aca="false">MAX(#REF!,1)</f>
        <v>#REF!</v>
      </c>
    </row>
    <row r="849" customFormat="false" ht="12.8" hidden="false" customHeight="false" outlineLevel="0" collapsed="false">
      <c r="K849" s="0" t="s">
        <v>846</v>
      </c>
      <c r="L849" s="0" t="e">
        <f aca="false">CHOOSE(2,1,#NAME?)</f>
        <v>#NAME?</v>
      </c>
    </row>
    <row r="850" customFormat="false" ht="12.8" hidden="false" customHeight="false" outlineLevel="0" collapsed="false">
      <c r="K850" s="0" t="s">
        <v>847</v>
      </c>
      <c r="L850" s="0" t="e">
        <f aca="false">SQRT(-1)+1</f>
        <v>#VALUE!</v>
      </c>
    </row>
    <row r="851" customFormat="false" ht="12.8" hidden="false" customHeight="false" outlineLevel="0" collapsed="false">
      <c r="K851" s="0" t="s">
        <v>848</v>
      </c>
      <c r="L851" s="0" t="str">
        <f aca="false">IFERROR(SQRT(-1),"nan")</f>
        <v>nan</v>
      </c>
    </row>
    <row r="852" customFormat="false" ht="12.8" hidden="false" customHeight="false" outlineLevel="0" collapsed="false">
      <c r="K852" s="0" t="s">
        <v>849</v>
      </c>
      <c r="L852" s="1" t="b">
        <f aca="false">ISNA(SQRT(-1))</f>
        <v>0</v>
      </c>
    </row>
    <row r="853" customFormat="false" ht="12.8" hidden="false" customHeight="false" outlineLevel="0" collapsed="false">
      <c r="K853" s="0" t="s">
        <v>850</v>
      </c>
      <c r="L853" s="0" t="e">
        <f aca="false">LEN(#N/A)</f>
        <v>#N/A</v>
      </c>
    </row>
    <row r="854" customFormat="false" ht="12.8" hidden="false" customHeight="false" outlineLevel="0" collapsed="false">
      <c r="K854" s="0" t="s">
        <v>851</v>
      </c>
      <c r="L854" s="0" t="e">
        <f aca="false">unknownfn(H1)</f>
        <v>#NAME?</v>
      </c>
    </row>
    <row r="855" customFormat="false" ht="12.8" hidden="false" customHeight="false" outlineLevel="0" collapsed="false">
      <c r="K855" s="0" t="s">
        <v>852</v>
      </c>
      <c r="L855" s="0" t="e">
        <f aca="false">SUM(unknownfn(1),1)</f>
        <v>#NAME?</v>
      </c>
    </row>
    <row r="856" customFormat="false" ht="12.8" hidden="false" customHeight="false" outlineLevel="0" collapsed="false">
      <c r="K856" s="0" t="s">
        <v>853</v>
      </c>
      <c r="L856" s="0" t="e">
        <f aca="false">MATCH(1,B1:B6,0)</f>
        <v>#N/A</v>
      </c>
    </row>
    <row r="857" customFormat="false" ht="12.8" hidden="false" customHeight="false" outlineLevel="0" collapsed="false">
      <c r="K857" s="0" t="s">
        <v>854</v>
      </c>
      <c r="L857" s="0" t="e">
        <f aca="false">nope!a1</f>
        <v>#NAME?</v>
      </c>
    </row>
    <row r="858" customFormat="false" ht="12.8" hidden="false" customHeight="false" outlineLevel="0" collapsed="false">
      <c r="K858" s="0" t="s">
        <v>855</v>
      </c>
      <c r="L858" s="0" t="e">
        <f aca="false">#N/A+#DIV/0!</f>
        <v>#N/A</v>
      </c>
    </row>
    <row r="859" customFormat="false" ht="12.8" hidden="false" customHeight="false" outlineLevel="0" collapsed="false">
      <c r="K859" s="0" t="s">
        <v>856</v>
      </c>
      <c r="L859" s="0" t="e">
        <f aca="false">#DIV/0!+#N/A</f>
        <v>#DIV/0!</v>
      </c>
    </row>
    <row r="860" customFormat="false" ht="12.8" hidden="false" customHeight="false" outlineLevel="0" collapsed="false">
      <c r="K860" s="0" t="s">
        <v>857</v>
      </c>
      <c r="L860" s="0" t="e">
        <f aca="false">IF(#N/A,1,2)</f>
        <v>#N/A</v>
      </c>
    </row>
    <row r="861" customFormat="false" ht="12.8" hidden="false" customHeight="false" outlineLevel="0" collapsed="false">
      <c r="K861" s="0" t="s">
        <v>858</v>
      </c>
      <c r="L861" s="0" t="e">
        <f aca="false">-#NUM!</f>
        <v>#NUM!</v>
      </c>
    </row>
    <row r="862" customFormat="false" ht="12.8" hidden="false" customHeight="false" outlineLevel="0" collapsed="false">
      <c r="K862" s="0" t="s">
        <v>859</v>
      </c>
      <c r="L862" s="0" t="e">
        <f aca="false">1/0+NA()</f>
        <v>#DIV/0!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7</v>
      </c>
      <c r="B1" s="0" t="s">
        <v>860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