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Oth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<sst xmlns="http://schemas.openxmlformats.org/spreadsheetml/2006/main" count="1651" uniqueCount="1637">
  <si>
    <t xml:space="preserve">apple</t>
  </si>
  <si>
    <t xml:space="preserve">one hundred</t>
  </si>
  <si>
    <t xml:space="preserve">=SUM(1,2,3)</t>
  </si>
  <si>
    <t xml:space="preserve">banana</t>
  </si>
  <si>
    <t xml:space="preserve">two hundred</t>
  </si>
  <si>
    <t xml:space="preserve">=SUM(A1:A6)</t>
  </si>
  <si>
    <t xml:space="preserve">cherry</t>
  </si>
  <si>
    <t xml:space="preserve">three hundred</t>
  </si>
  <si>
    <t xml:space="preserve">=SUM(C1:C6)</t>
  </si>
  <si>
    <t xml:space="preserve">date</t>
  </si>
  <si>
    <t xml:space="preserve">four hundred</t>
  </si>
  <si>
    <t xml:space="preserve">=SUM(D1:D6)</t>
  </si>
  <si>
    <t xml:space="preserve">elderberry</t>
  </si>
  <si>
    <t xml:space="preserve">42</t>
  </si>
  <si>
    <t xml:space="preserve">=SUM(B1:B3)</t>
  </si>
  <si>
    <t xml:space="preserve">fig</t>
  </si>
  <si>
    <t xml:space="preserve">  padded  </t>
  </si>
  <si>
    <t xml:space="preserve">=SUM("3",4)</t>
  </si>
  <si>
    <t xml:space="preserve">=SUM(TRUE,1)</t>
  </si>
  <si>
    <t xml:space="preserve">=SUM(A1:A3,H1)</t>
  </si>
  <si>
    <t xml:space="preserve">=SUM(H1:H2)</t>
  </si>
  <si>
    <t xml:space="preserve">=SUM(A1:A2,D4)</t>
  </si>
  <si>
    <t xml:space="preserve">=AVERAGE(A1:A6)</t>
  </si>
  <si>
    <t xml:space="preserve">=AVERAGE(C1:C4)</t>
  </si>
  <si>
    <t xml:space="preserve">=AVERAGE(B1:B3)</t>
  </si>
  <si>
    <t xml:space="preserve">=AVERAGE(A1,H1)</t>
  </si>
  <si>
    <t xml:space="preserve">=AVERAGE(D1:D6)</t>
  </si>
  <si>
    <t xml:space="preserve">=AVERAGE(1,"3")</t>
  </si>
  <si>
    <t xml:space="preserve">=AVERAGE(A1:A2,D4)</t>
  </si>
  <si>
    <t xml:space="preserve">=AVERAGE(0,0)</t>
  </si>
  <si>
    <t xml:space="preserve">=MIN(C1:C6)</t>
  </si>
  <si>
    <t xml:space="preserve">=MIN(1,2,-3)</t>
  </si>
  <si>
    <t xml:space="preserve">=MIN(B1:B3)</t>
  </si>
  <si>
    <t xml:space="preserve">=MIN(A1:A3,H1)</t>
  </si>
  <si>
    <t xml:space="preserve">=MIN(D1:D2)</t>
  </si>
  <si>
    <t xml:space="preserve">=MIN(TRUE,5)</t>
  </si>
  <si>
    <t xml:space="preserve">=MIN(C1:C3,D4)</t>
  </si>
  <si>
    <t xml:space="preserve">=MAX(C1:C6)</t>
  </si>
  <si>
    <t xml:space="preserve">=MAX(-5,-2)</t>
  </si>
  <si>
    <t xml:space="preserve">=MAX(B1:B3)</t>
  </si>
  <si>
    <t xml:space="preserve">=MAX(H2,1)</t>
  </si>
  <si>
    <t xml:space="preserve">=MAX(D4,-1)</t>
  </si>
  <si>
    <t xml:space="preserve">=MAX(A1:A6,"x")</t>
  </si>
  <si>
    <t xml:space="preserve">=MAX(-3,D4)</t>
  </si>
  <si>
    <t xml:space="preserve">=COUNT(A1:A6)</t>
  </si>
  <si>
    <t xml:space="preserve">=COUNT(A1:D6)</t>
  </si>
  <si>
    <t xml:space="preserve">=COUNT(1,"a",TRUE)</t>
  </si>
  <si>
    <t xml:space="preserve">=COUNT(B1:B6)</t>
  </si>
  <si>
    <t xml:space="preserve">=COUNT(H1:H2)</t>
  </si>
  <si>
    <t xml:space="preserve">=COUNT(D1:D6)</t>
  </si>
  <si>
    <t xml:space="preserve">=COUNT(E1:E4)</t>
  </si>
  <si>
    <t xml:space="preserve">=COUNT("5")</t>
  </si>
  <si>
    <t xml:space="preserve">=COUNT(A1,H1)</t>
  </si>
  <si>
    <t xml:space="preserve">=COUNTA(A1:D6)</t>
  </si>
  <si>
    <t xml:space="preserve">=COUNTA(D1:D6)</t>
  </si>
  <si>
    <t xml:space="preserve">=COUNTA(H1:H2)</t>
  </si>
  <si>
    <t xml:space="preserve">=COUNTA(D4)</t>
  </si>
  <si>
    <t xml:space="preserve">=COUNTA(D3)</t>
  </si>
  <si>
    <t xml:space="preserve">=COUNTA(1,"",TRUE)</t>
  </si>
  <si>
    <t xml:space="preserve">=ROUND(2.5,0)</t>
  </si>
  <si>
    <t xml:space="preserve">=ROUND(-2.5,0)</t>
  </si>
  <si>
    <t xml:space="preserve">=ROUND(1234.5678,2)</t>
  </si>
  <si>
    <t xml:space="preserve">=ROUND(1234.5678,-2)</t>
  </si>
  <si>
    <t xml:space="preserve">=ROUND(C1,0)</t>
  </si>
  <si>
    <t xml:space="preserve">=ROUND(H1,0)</t>
  </si>
  <si>
    <t xml:space="preserve">=ROUND("3.7",0)</t>
  </si>
  <si>
    <t xml:space="preserve">=ROUND(D4,2)</t>
  </si>
  <si>
    <t xml:space="preserve">=ROUND(C5,1)</t>
  </si>
  <si>
    <t xml:space="preserve">=ROUND(2.675,2)</t>
  </si>
  <si>
    <t xml:space="preserve">=ROUND(B1,0)</t>
  </si>
  <si>
    <t xml:space="preserve">=ROUNDUP(2.1,0)</t>
  </si>
  <si>
    <t xml:space="preserve">=ROUNDUP(-2.1,0)</t>
  </si>
  <si>
    <t xml:space="preserve">=ROUNDUP(3.14159,3)</t>
  </si>
  <si>
    <t xml:space="preserve">=ROUNDUP(C1,0)</t>
  </si>
  <si>
    <t xml:space="preserve">=ROUNDUP(0,0)</t>
  </si>
  <si>
    <t xml:space="preserve">=ROUNDUP(H1,1)</t>
  </si>
  <si>
    <t xml:space="preserve">=ROUNDUP(1234,-2)</t>
  </si>
  <si>
    <t xml:space="preserve">=ROUNDUP(A1:A1,0)</t>
  </si>
  <si>
    <t xml:space="preserve">=ROUNDDOWN(2.9,0)</t>
  </si>
  <si>
    <t xml:space="preserve">=ROUNDDOWN(-2.9,0)</t>
  </si>
  <si>
    <t xml:space="preserve">=ROUNDDOWN(3.14159,3)</t>
  </si>
  <si>
    <t xml:space="preserve">=ROUNDDOWN(C5,1)</t>
  </si>
  <si>
    <t xml:space="preserve">=ROUNDDOWN(1999,-3)</t>
  </si>
  <si>
    <t xml:space="preserve">=ROUNDDOWN(H1,0)</t>
  </si>
  <si>
    <t xml:space="preserve">=ROUNDDOWN(D4,0)</t>
  </si>
  <si>
    <t xml:space="preserve">=INT(2.7)</t>
  </si>
  <si>
    <t xml:space="preserve">=INT(-2.1)</t>
  </si>
  <si>
    <t xml:space="preserve">=INT(C1)</t>
  </si>
  <si>
    <t xml:space="preserve">=INT(C2)</t>
  </si>
  <si>
    <t xml:space="preserve">=INT(E3)</t>
  </si>
  <si>
    <t xml:space="preserve">=INT("7.9")</t>
  </si>
  <si>
    <t xml:space="preserve">=INT(H1)</t>
  </si>
  <si>
    <t xml:space="preserve">=INT(D4)</t>
  </si>
  <si>
    <t xml:space="preserve">=INT(TRUE)</t>
  </si>
  <si>
    <t xml:space="preserve">=INT(B1)</t>
  </si>
  <si>
    <t xml:space="preserve">=MOD(10,3)</t>
  </si>
  <si>
    <t xml:space="preserve">=MOD(-10,3)</t>
  </si>
  <si>
    <t xml:space="preserve">=MOD(10,-3)</t>
  </si>
  <si>
    <t xml:space="preserve">=MOD(5,0)</t>
  </si>
  <si>
    <t xml:space="preserve">=MOD(A6,A3)</t>
  </si>
  <si>
    <t xml:space="preserve">=MOD(C1,3)</t>
  </si>
  <si>
    <t xml:space="preserve">=MOD(H1,2)</t>
  </si>
  <si>
    <t xml:space="preserve">=MOD(3.5,1)</t>
  </si>
  <si>
    <t xml:space="preserve">=MOD(0,5)</t>
  </si>
  <si>
    <t xml:space="preserve">=MOD(D4,3)</t>
  </si>
  <si>
    <t xml:space="preserve">=ABS(-5)</t>
  </si>
  <si>
    <t xml:space="preserve">=ABS(C2)</t>
  </si>
  <si>
    <t xml:space="preserve">=ABS(0)</t>
  </si>
  <si>
    <t xml:space="preserve">=ABS(D4)</t>
  </si>
  <si>
    <t xml:space="preserve">=ABS(H1)</t>
  </si>
  <si>
    <t xml:space="preserve">=ABS("-3")</t>
  </si>
  <si>
    <t xml:space="preserve">=ABS(B1)</t>
  </si>
  <si>
    <t xml:space="preserve">=ABS(-0.5)</t>
  </si>
  <si>
    <t xml:space="preserve">=ABS(TRUE)</t>
  </si>
  <si>
    <t xml:space="preserve">=SQRT(16)</t>
  </si>
  <si>
    <t xml:space="preserve">=SQRT(2)</t>
  </si>
  <si>
    <t xml:space="preserve">=SQRT(-1)</t>
  </si>
  <si>
    <t xml:space="preserve">=SQRT(0)</t>
  </si>
  <si>
    <t xml:space="preserve">=SQRT(A4)</t>
  </si>
  <si>
    <t xml:space="preserve">=SQRT(H1)</t>
  </si>
  <si>
    <t xml:space="preserve">=SQRT("9")</t>
  </si>
  <si>
    <t xml:space="preserve">=SQRT(B1)</t>
  </si>
  <si>
    <t xml:space="preserve">=SQRT(C2*-1)</t>
  </si>
  <si>
    <t xml:space="preserve">=POWER(2,10)</t>
  </si>
  <si>
    <t xml:space="preserve">=POWER(2,-1)</t>
  </si>
  <si>
    <t xml:space="preserve">=POWER(0,0)</t>
  </si>
  <si>
    <t xml:space="preserve">=POWER(-8,1/3)</t>
  </si>
  <si>
    <t xml:space="preserve">=POWER(A3,A2)</t>
  </si>
  <si>
    <t xml:space="preserve">=POWER(H1,2)</t>
  </si>
  <si>
    <t xml:space="preserve">=POWER(0,-1)</t>
  </si>
  <si>
    <t xml:space="preserve">=POWER(4,0.5)</t>
  </si>
  <si>
    <t xml:space="preserve">=POWER(-2,3)</t>
  </si>
  <si>
    <t xml:space="preserve">=POWER(D4,2)</t>
  </si>
  <si>
    <t xml:space="preserve">=PI()</t>
  </si>
  <si>
    <t xml:space="preserve">=PI()*2</t>
  </si>
  <si>
    <t xml:space="preserve">=ROUND(PI(),2)</t>
  </si>
  <si>
    <t xml:space="preserve">=PI()+H1</t>
  </si>
  <si>
    <t xml:space="preserve">=PI()/PI()</t>
  </si>
  <si>
    <t xml:space="preserve">=C1*PI()</t>
  </si>
  <si>
    <t xml:space="preserve">=PRODUCT(1,2,3,4)</t>
  </si>
  <si>
    <t xml:space="preserve">=PRODUCT(A1:A6)</t>
  </si>
  <si>
    <t xml:space="preserve">=PRODUCT(B1:B3)</t>
  </si>
  <si>
    <t xml:space="preserve">=PRODUCT(A1:A3,H1)</t>
  </si>
  <si>
    <t xml:space="preserve">=PRODUCT(C1:C3)</t>
  </si>
  <si>
    <t xml:space="preserve">=PRODUCT(D4)</t>
  </si>
  <si>
    <t xml:space="preserve">=PRODUCT("2",3)</t>
  </si>
  <si>
    <t xml:space="preserve">=PRODUCT(A1:A2,D1:D2)</t>
  </si>
  <si>
    <t xml:space="preserve">=PRODUCT(C2,C2)</t>
  </si>
  <si>
    <t xml:space="preserve">=SUMIF(A1:A6,"&gt;3")</t>
  </si>
  <si>
    <t xml:space="preserve">=SUMIF(B1:B6,"apple",A1:A6)</t>
  </si>
  <si>
    <t xml:space="preserve">=SUMIF(C1:C6,"&lt;0")</t>
  </si>
  <si>
    <t xml:space="preserve">=SUMIF(B1:B6,"*e*",A1:A6)</t>
  </si>
  <si>
    <t xml:space="preserve">=SUMIF(A1:A6,"&gt;="&amp;A3)</t>
  </si>
  <si>
    <t xml:space="preserve">=SUMIF(B1:B6,"zzz",A1:A6)</t>
  </si>
  <si>
    <t xml:space="preserve">=SUMIF(A1:A6,"&lt;&gt;"&amp;H1)</t>
  </si>
  <si>
    <t xml:space="preserve">=SUMIF(H1:H2,"&gt;0")</t>
  </si>
  <si>
    <t xml:space="preserve">=SUMIF(D1:D6,TRUE,A1:A6)</t>
  </si>
  <si>
    <t xml:space="preserve">=SUMIF(A1:A6,"&gt;2",C1:C6)</t>
  </si>
  <si>
    <t xml:space="preserve">=SUMIF(B1:B6,"APPLE",A1:A6)</t>
  </si>
  <si>
    <t xml:space="preserve">=SUMIF(A1:A6,3)</t>
  </si>
  <si>
    <t xml:space="preserve">=COUNTIF(A1:A6,"&gt;3")</t>
  </si>
  <si>
    <t xml:space="preserve">=COUNTIF(B1:B6,"a*")</t>
  </si>
  <si>
    <t xml:space="preserve">=COUNTIF(B1:B6,"?????")</t>
  </si>
  <si>
    <t xml:space="preserve">=COUNTIF(A1:A6,3)</t>
  </si>
  <si>
    <t xml:space="preserve">=COUNTIF(D1:D6,"")</t>
  </si>
  <si>
    <t xml:space="preserve">=COUNTIF(B1:B6,"APPLE")</t>
  </si>
  <si>
    <t xml:space="preserve">=COUNTIF(A1:A6,"&lt;&gt;"&amp;H1)</t>
  </si>
  <si>
    <t xml:space="preserve">=COUNTIF(D1:D6,TRUE)</t>
  </si>
  <si>
    <t xml:space="preserve">=COUNTIF(D1:D6,42)</t>
  </si>
  <si>
    <t xml:space="preserve">=COUNTIF(H1:H2,"#N/A")</t>
  </si>
  <si>
    <t xml:space="preserve">=COUNTIF(C1:C6,"&lt;0")</t>
  </si>
  <si>
    <t xml:space="preserve">=COUNTIF(A1:A6,"&gt;="&amp;A3)</t>
  </si>
  <si>
    <t xml:space="preserve">=SUMPRODUCT(A1:A3,A1:A3)</t>
  </si>
  <si>
    <t xml:space="preserve">=SUMPRODUCT(A1:A3,C1:C3)</t>
  </si>
  <si>
    <t xml:space="preserve">=SUMPRODUCT(A1:A3,B1:B3)</t>
  </si>
  <si>
    <t xml:space="preserve">=SUMPRODUCT(A1:A3,A1:A2)</t>
  </si>
  <si>
    <t xml:space="preserve">=SUMPRODUCT(A1:A3,H1:H3)</t>
  </si>
  <si>
    <t xml:space="preserve">=SUMPRODUCT((A1:A6&gt;2)*(A1:A6&lt;5))</t>
  </si>
  <si>
    <t xml:space="preserve">=SUMPRODUCT(A1:A6)</t>
  </si>
  <si>
    <t xml:space="preserve">=SUMPRODUCT(A1:A2,D1:D2)</t>
  </si>
  <si>
    <t xml:space="preserve">=SUMPRODUCT(A1:A3*2)</t>
  </si>
  <si>
    <t xml:space="preserve">=CEILING(2.5,1)</t>
  </si>
  <si>
    <t xml:space="preserve">=CEILING(-2.5,-1)</t>
  </si>
  <si>
    <t xml:space="preserve">=CEILING(-2.5,1)</t>
  </si>
  <si>
    <t xml:space="preserve">=CEILING(2.1,0)</t>
  </si>
  <si>
    <t xml:space="preserve">=CEILING(C1,5)</t>
  </si>
  <si>
    <t xml:space="preserve">=CEILING(H1,1)</t>
  </si>
  <si>
    <t xml:space="preserve">=CEILING(2.5,-1)</t>
  </si>
  <si>
    <t xml:space="preserve">=CEILING(0,5)</t>
  </si>
  <si>
    <t xml:space="preserve">=CEILING(1.234,0.01)</t>
  </si>
  <si>
    <t xml:space="preserve">=CEILING(D4,3)</t>
  </si>
  <si>
    <t xml:space="preserve">=IF(TRUE,1,2)</t>
  </si>
  <si>
    <t xml:space="preserve">=IF(FALSE,1,2)</t>
  </si>
  <si>
    <t xml:space="preserve">=IF(0,"y","n")</t>
  </si>
  <si>
    <t xml:space="preserve">=IF(A1&gt;0,"pos","neg")</t>
  </si>
  <si>
    <t xml:space="preserve">=IF(D4,"y","n")</t>
  </si>
  <si>
    <t xml:space="preserve">=IF("TRUE",1,2)</t>
  </si>
  <si>
    <t xml:space="preserve">=IF(H1,1,2)</t>
  </si>
  <si>
    <t xml:space="preserve">=IF(FALSE,1)</t>
  </si>
  <si>
    <t xml:space="preserve">=IF(TRUE,1,1/0)</t>
  </si>
  <si>
    <t xml:space="preserve">=IF(FALSE,1/0,2)</t>
  </si>
  <si>
    <t xml:space="preserve">=IF(B1,1,2)</t>
  </si>
  <si>
    <t xml:space="preserve">=IF(C3,"y","n")</t>
  </si>
  <si>
    <t xml:space="preserve">=IF(A2,"y","n")</t>
  </si>
  <si>
    <t xml:space="preserve">=IF(1&gt;2,"a")</t>
  </si>
  <si>
    <t xml:space="preserve">=IF(D3="","empty","filled")</t>
  </si>
  <si>
    <t xml:space="preserve">=IF(D1,"yes","no")</t>
  </si>
  <si>
    <t xml:space="preserve">=AND(TRUE,TRUE)</t>
  </si>
  <si>
    <t xml:space="preserve">=AND(TRUE,FALSE)</t>
  </si>
  <si>
    <t xml:space="preserve">=AND(1,2)</t>
  </si>
  <si>
    <t xml:space="preserve">=AND(A1:A3)</t>
  </si>
  <si>
    <t xml:space="preserve">=AND(C1:C3)</t>
  </si>
  <si>
    <t xml:space="preserve">=AND(D1:D2)</t>
  </si>
  <si>
    <t xml:space="preserve">=AND(B1:B2)</t>
  </si>
  <si>
    <t xml:space="preserve">=AND(D4)</t>
  </si>
  <si>
    <t xml:space="preserve">=AND(TRUE,H1)</t>
  </si>
  <si>
    <t xml:space="preserve">=AND(FALSE,H1)</t>
  </si>
  <si>
    <t xml:space="preserve">=AND(D1,D5)</t>
  </si>
  <si>
    <t xml:space="preserve">=AND(A1&gt;0,C1&gt;0,B1="apple")</t>
  </si>
  <si>
    <t xml:space="preserve">=OR(FALSE,FALSE)</t>
  </si>
  <si>
    <t xml:space="preserve">=OR(FALSE,TRUE)</t>
  </si>
  <si>
    <t xml:space="preserve">=OR(0,0)</t>
  </si>
  <si>
    <t xml:space="preserve">=OR(C1:C3)</t>
  </si>
  <si>
    <t xml:space="preserve">=OR(D2,D3)</t>
  </si>
  <si>
    <t xml:space="preserve">=OR(B1:B2)</t>
  </si>
  <si>
    <t xml:space="preserve">=OR(H1,TRUE)</t>
  </si>
  <si>
    <t xml:space="preserve">=OR(D4,FALSE)</t>
  </si>
  <si>
    <t xml:space="preserve">=OR(A1&lt;0,C2&lt;0)</t>
  </si>
  <si>
    <t xml:space="preserve">=NOT(TRUE)</t>
  </si>
  <si>
    <t xml:space="preserve">=NOT(0)</t>
  </si>
  <si>
    <t xml:space="preserve">=NOT(D4)</t>
  </si>
  <si>
    <t xml:space="preserve">=NOT(A1)</t>
  </si>
  <si>
    <t xml:space="preserve">=NOT(H1)</t>
  </si>
  <si>
    <t xml:space="preserve">=NOT(B1)</t>
  </si>
  <si>
    <t xml:space="preserve">=NOT("abc")</t>
  </si>
  <si>
    <t xml:space="preserve">=NOT(D2)</t>
  </si>
  <si>
    <t xml:space="preserve">=NOT(A1&gt;2)</t>
  </si>
  <si>
    <t xml:space="preserve">=IFERROR(1/0,"err")</t>
  </si>
  <si>
    <t xml:space="preserve">=IFERROR(5,"err")</t>
  </si>
  <si>
    <t xml:space="preserve">=IFERROR(H1,0)</t>
  </si>
  <si>
    <t xml:space="preserve">=IFERROR(H2,"na")</t>
  </si>
  <si>
    <t xml:space="preserve">=IFERROR(A1,0)</t>
  </si>
  <si>
    <t xml:space="preserve">=IFERROR(D4,"x")</t>
  </si>
  <si>
    <t xml:space="preserve">=IFERROR(VLOOKUP(999,F1:G4,2,FALSE),"missing")</t>
  </si>
  <si>
    <t xml:space="preserve">=IFERROR(SQRT(-1),-1)</t>
  </si>
  <si>
    <t xml:space="preserve">=IFERROR(1/0,1/0)</t>
  </si>
  <si>
    <t xml:space="preserve">=IFERROR(B1,"x")</t>
  </si>
  <si>
    <t xml:space="preserve">=IFERROR(UNKNOWNFN(1),"x")</t>
  </si>
  <si>
    <t xml:space="preserve">=TRUE()</t>
  </si>
  <si>
    <t xml:space="preserve">=TRUE()+1</t>
  </si>
  <si>
    <t xml:space="preserve">=AND(TRUE(),TRUE())</t>
  </si>
  <si>
    <t xml:space="preserve">=IF(TRUE(),"y","n")</t>
  </si>
  <si>
    <t xml:space="preserve">=NOT(TRUE())</t>
  </si>
  <si>
    <t xml:space="preserve">=TRUE()&amp;""</t>
  </si>
  <si>
    <t xml:space="preserve">=TRUE()+H1</t>
  </si>
  <si>
    <t xml:space="preserve">=SUM(TRUE(),TRUE())</t>
  </si>
  <si>
    <t xml:space="preserve">=FALSE()</t>
  </si>
  <si>
    <t xml:space="preserve">=FALSE()+1</t>
  </si>
  <si>
    <t xml:space="preserve">=OR(FALSE(),FALSE())</t>
  </si>
  <si>
    <t xml:space="preserve">=IF(FALSE(),"y","n")</t>
  </si>
  <si>
    <t xml:space="preserve">=NOT(FALSE())</t>
  </si>
  <si>
    <t xml:space="preserve">=FALSE()&amp;""</t>
  </si>
  <si>
    <t xml:space="preserve">=FALSE()=D2</t>
  </si>
  <si>
    <t xml:space="preserve">=FALSE()*H1</t>
  </si>
  <si>
    <t xml:space="preserve">=ISBLANK(D4)</t>
  </si>
  <si>
    <t xml:space="preserve">=ISBLANK(D3)</t>
  </si>
  <si>
    <t xml:space="preserve">=ISBLANK(A1)</t>
  </si>
  <si>
    <t xml:space="preserve">=ISBLANK(Z99)</t>
  </si>
  <si>
    <t xml:space="preserve">=ISBLANK(H1)</t>
  </si>
  <si>
    <t xml:space="preserve">=ISBLANK("")</t>
  </si>
  <si>
    <t xml:space="preserve">=ISBLANK(D5)</t>
  </si>
  <si>
    <t xml:space="preserve">=ISBLANK(Other!Z1)</t>
  </si>
  <si>
    <t xml:space="preserve">=ISNUMBER(A1)</t>
  </si>
  <si>
    <t xml:space="preserve">=ISNUMBER(D5)</t>
  </si>
  <si>
    <t xml:space="preserve">=ISNUMBER("1")</t>
  </si>
  <si>
    <t xml:space="preserve">=ISNUMBER(D4)</t>
  </si>
  <si>
    <t xml:space="preserve">=ISNUMBER(E1)</t>
  </si>
  <si>
    <t xml:space="preserve">=ISNUMBER(D1)</t>
  </si>
  <si>
    <t xml:space="preserve">=ISNUMBER(H1)</t>
  </si>
  <si>
    <t xml:space="preserve">=ISNUMBER(--D5)</t>
  </si>
  <si>
    <t xml:space="preserve">=ISNUMBER(A1:A1)</t>
  </si>
  <si>
    <t xml:space="preserve">=ISTEXT(B1)</t>
  </si>
  <si>
    <t xml:space="preserve">=ISTEXT(D5)</t>
  </si>
  <si>
    <t xml:space="preserve">=ISTEXT(D3)</t>
  </si>
  <si>
    <t xml:space="preserve">=ISTEXT(D4)</t>
  </si>
  <si>
    <t xml:space="preserve">=ISTEXT(A1)</t>
  </si>
  <si>
    <t xml:space="preserve">=ISTEXT(H1)</t>
  </si>
  <si>
    <t xml:space="preserve">=ISTEXT("")</t>
  </si>
  <si>
    <t xml:space="preserve">=ISTEXT(D1)</t>
  </si>
  <si>
    <t xml:space="preserve">=ISTEXT(A1&amp;"")</t>
  </si>
  <si>
    <t xml:space="preserve">=ISERROR(H1)</t>
  </si>
  <si>
    <t xml:space="preserve">=ISERROR(H2)</t>
  </si>
  <si>
    <t xml:space="preserve">=ISERROR(A1)</t>
  </si>
  <si>
    <t xml:space="preserve">=ISERROR(1/0)</t>
  </si>
  <si>
    <t xml:space="preserve">=ISERROR(D4)</t>
  </si>
  <si>
    <t xml:space="preserve">=ISERROR(VALUE("x"))</t>
  </si>
  <si>
    <t xml:space="preserve">=ISERROR(NA())</t>
  </si>
  <si>
    <t xml:space="preserve">=ISERROR(B1)</t>
  </si>
  <si>
    <t xml:space="preserve">=ISERROR(SQRT(-1))</t>
  </si>
  <si>
    <t xml:space="preserve">=ISNA(H2)</t>
  </si>
  <si>
    <t xml:space="preserve">=ISNA(H1)</t>
  </si>
  <si>
    <t xml:space="preserve">=ISNA(NA())</t>
  </si>
  <si>
    <t xml:space="preserve">=ISNA(A1)</t>
  </si>
  <si>
    <t xml:space="preserve">=ISNA(VLOOKUP(999,F1:G4,2,FALSE))</t>
  </si>
  <si>
    <t xml:space="preserve">=ISNA(1/0)</t>
  </si>
  <si>
    <t xml:space="preserve">=ISNA(D4)</t>
  </si>
  <si>
    <t xml:space="preserve">=ISNA(MATCH("zzz",B1:B6,0))</t>
  </si>
  <si>
    <t xml:space="preserve">=NA()</t>
  </si>
  <si>
    <t xml:space="preserve">=IFERROR(NA(),0)</t>
  </si>
  <si>
    <t xml:space="preserve">=NA()+1</t>
  </si>
  <si>
    <t xml:space="preserve">=SUM(1,NA())</t>
  </si>
  <si>
    <t xml:space="preserve">=IF(TRUE,NA(),1)</t>
  </si>
  <si>
    <t xml:space="preserve">=H2</t>
  </si>
  <si>
    <t xml:space="preserve">=NA()&amp;"x"</t>
  </si>
  <si>
    <t xml:space="preserve">=NA()+H1</t>
  </si>
  <si>
    <t xml:space="preserve">=CONCAT("a","b")</t>
  </si>
  <si>
    <t xml:space="preserve">=CONCAT(B1:B3)</t>
  </si>
  <si>
    <t xml:space="preserve">=CONCAT(A1,B1)</t>
  </si>
  <si>
    <t xml:space="preserve">=CONCAT(1,TRUE)</t>
  </si>
  <si>
    <t xml:space="preserve">=CONCAT(D4,"x")</t>
  </si>
  <si>
    <t xml:space="preserve">=CONCAT(H1,"x")</t>
  </si>
  <si>
    <t xml:space="preserve">=CONCAT(A1:A3,"-")</t>
  </si>
  <si>
    <t xml:space="preserve">=CONCAT(D1:D3)</t>
  </si>
  <si>
    <t xml:space="preserve">=CONCAT(C1:C2)</t>
  </si>
  <si>
    <t xml:space="preserve">=CONCATENATE("a","b","c")</t>
  </si>
  <si>
    <t xml:space="preserve">=CONCATENATE(B1," ",B2)</t>
  </si>
  <si>
    <t xml:space="preserve">=CONCATENATE(A1,A2)</t>
  </si>
  <si>
    <t xml:space="preserve">=CONCATENATE(D4)</t>
  </si>
  <si>
    <t xml:space="preserve">=CONCATENATE(H1,"x")</t>
  </si>
  <si>
    <t xml:space="preserve">=CONCATENATE(C1,"%")</t>
  </si>
  <si>
    <t xml:space="preserve">=CONCATENATE(1/4)</t>
  </si>
  <si>
    <t xml:space="preserve">=CONCATENATE(D1,D2)</t>
  </si>
  <si>
    <t xml:space="preserve">=LEFT("hello",2)</t>
  </si>
  <si>
    <t xml:space="preserve">=LEFT("hello")</t>
  </si>
  <si>
    <t xml:space="preserve">=LEFT(B1,3)</t>
  </si>
  <si>
    <t xml:space="preserve">=LEFT(B1,0)</t>
  </si>
  <si>
    <t xml:space="preserve">=LEFT(B1,100)</t>
  </si>
  <si>
    <t xml:space="preserve">=LEFT(A4,1)</t>
  </si>
  <si>
    <t xml:space="preserve">=LEFT(C1,2)</t>
  </si>
  <si>
    <t xml:space="preserve">=LEFT(H1,1)</t>
  </si>
  <si>
    <t xml:space="preserve">=LEFT(B1,-1)</t>
  </si>
  <si>
    <t xml:space="preserve">=LEFT(D4,2)</t>
  </si>
  <si>
    <t xml:space="preserve">=LEFT(D1,2)</t>
  </si>
  <si>
    <t xml:space="preserve">=LEFT(E1,3)</t>
  </si>
  <si>
    <t xml:space="preserve">=LEFT("abc",1.9)</t>
  </si>
  <si>
    <t xml:space="preserve">=RIGHT("hello",2)</t>
  </si>
  <si>
    <t xml:space="preserve">=RIGHT("hello")</t>
  </si>
  <si>
    <t xml:space="preserve">=RIGHT(B5,3)</t>
  </si>
  <si>
    <t xml:space="preserve">=RIGHT(B1,0)</t>
  </si>
  <si>
    <t xml:space="preserve">=RIGHT(B1,99)</t>
  </si>
  <si>
    <t xml:space="preserve">=RIGHT(C1,1)</t>
  </si>
  <si>
    <t xml:space="preserve">=RIGHT(H2,1)</t>
  </si>
  <si>
    <t xml:space="preserve">=RIGHT(B1,-1)</t>
  </si>
  <si>
    <t xml:space="preserve">=RIGHT(D4,1)</t>
  </si>
  <si>
    <t xml:space="preserve">=RIGHT(D6,3)</t>
  </si>
  <si>
    <t xml:space="preserve">=MID("hello",2,3)</t>
  </si>
  <si>
    <t xml:space="preserve">=MID(B1,1,1)</t>
  </si>
  <si>
    <t xml:space="preserve">=MID(B1,10,2)</t>
  </si>
  <si>
    <t xml:space="preserve">=MID(B1,0,2)</t>
  </si>
  <si>
    <t xml:space="preserve">=MID(B5,3,100)</t>
  </si>
  <si>
    <t xml:space="preserve">=MID(A1,1,1)</t>
  </si>
  <si>
    <t xml:space="preserve">=MID(H1,1,1)</t>
  </si>
  <si>
    <t xml:space="preserve">=MID(B1,2,-1)</t>
  </si>
  <si>
    <t xml:space="preserve">=MID(C1,2,3)</t>
  </si>
  <si>
    <t xml:space="preserve">=MID(B2,2,0)</t>
  </si>
  <si>
    <t xml:space="preserve">=MID(D4,1,5)</t>
  </si>
  <si>
    <t xml:space="preserve">=LEN("hello")</t>
  </si>
  <si>
    <t xml:space="preserve">=LEN(B5)</t>
  </si>
  <si>
    <t xml:space="preserve">=LEN(D3)</t>
  </si>
  <si>
    <t xml:space="preserve">=LEN(D4)</t>
  </si>
  <si>
    <t xml:space="preserve">=LEN(D6)</t>
  </si>
  <si>
    <t xml:space="preserve">=LEN(C1)</t>
  </si>
  <si>
    <t xml:space="preserve">=LEN(A1)</t>
  </si>
  <si>
    <t xml:space="preserve">=LEN(H1)</t>
  </si>
  <si>
    <t xml:space="preserve">=LEN(TRUE)</t>
  </si>
  <si>
    <t xml:space="preserve">=LEN(E3)</t>
  </si>
  <si>
    <t xml:space="preserve">=LEN("")</t>
  </si>
  <si>
    <t xml:space="preserve">=LEN("Äpfel")</t>
  </si>
  <si>
    <t xml:space="preserve">=UPPER("abc")</t>
  </si>
  <si>
    <t xml:space="preserve">=UPPER(B1)</t>
  </si>
  <si>
    <t xml:space="preserve">=UPPER(A1)</t>
  </si>
  <si>
    <t xml:space="preserve">=UPPER(D4)</t>
  </si>
  <si>
    <t xml:space="preserve">=UPPER(H1)</t>
  </si>
  <si>
    <t xml:space="preserve">=UPPER("äö")</t>
  </si>
  <si>
    <t xml:space="preserve">=UPPER(TRUE)</t>
  </si>
  <si>
    <t xml:space="preserve">=UPPER(B1&amp;B2)</t>
  </si>
  <si>
    <t xml:space="preserve">=LOWER("ABC")</t>
  </si>
  <si>
    <t xml:space="preserve">=LOWER(B1)</t>
  </si>
  <si>
    <t xml:space="preserve">=LOWER("ÄÖ")</t>
  </si>
  <si>
    <t xml:space="preserve">=LOWER(D6)</t>
  </si>
  <si>
    <t xml:space="preserve">=LOWER(H1)</t>
  </si>
  <si>
    <t xml:space="preserve">=LOWER(D4)</t>
  </si>
  <si>
    <t xml:space="preserve">=LOWER(TRUE)</t>
  </si>
  <si>
    <t xml:space="preserve">=LOWER(UPPER(B2))</t>
  </si>
  <si>
    <t xml:space="preserve">=TRIM("  a  b  ")</t>
  </si>
  <si>
    <t xml:space="preserve">=TRIM(D6)</t>
  </si>
  <si>
    <t xml:space="preserve">=TRIM(B1)</t>
  </si>
  <si>
    <t xml:space="preserve">=TRIM(D4)</t>
  </si>
  <si>
    <t xml:space="preserve">=TRIM(H1)</t>
  </si>
  <si>
    <t xml:space="preserve">=TRIM(A1)</t>
  </si>
  <si>
    <t xml:space="preserve">=TRIM("   ")</t>
  </si>
  <si>
    <t xml:space="preserve">=TRIM(D5)</t>
  </si>
  <si>
    <t xml:space="preserve">=FIND("a","banana")</t>
  </si>
  <si>
    <t xml:space="preserve">=FIND("a","banana",3)</t>
  </si>
  <si>
    <t xml:space="preserve">=FIND("A","banana")</t>
  </si>
  <si>
    <t xml:space="preserve">=FIND("","abc")</t>
  </si>
  <si>
    <t xml:space="preserve">=FIND("z",B1)</t>
  </si>
  <si>
    <t xml:space="preserve">=FIND("e",B5)</t>
  </si>
  <si>
    <t xml:space="preserve">=FIND("e",B5,2)</t>
  </si>
  <si>
    <t xml:space="preserve">=FIND("na",B2)</t>
  </si>
  <si>
    <t xml:space="preserve">=FIND("a",B1,0)</t>
  </si>
  <si>
    <t xml:space="preserve">=FIND(H1,"abc")</t>
  </si>
  <si>
    <t xml:space="preserve">=FIND("0",A1)</t>
  </si>
  <si>
    <t xml:space="preserve">=FIND(1,A1)</t>
  </si>
  <si>
    <t xml:space="preserve">=FIND("a",D4)</t>
  </si>
  <si>
    <t xml:space="preserve">=FIND("?","a?b")</t>
  </si>
  <si>
    <t xml:space="preserve">=SUBSTITUTE("banana","a","o")</t>
  </si>
  <si>
    <t xml:space="preserve">=SUBSTITUTE("banana","a","o",2)</t>
  </si>
  <si>
    <t xml:space="preserve">=SUBSTITUTE("banana","A","o")</t>
  </si>
  <si>
    <t xml:space="preserve">=SUBSTITUTE(B2,"an","")</t>
  </si>
  <si>
    <t xml:space="preserve">=SUBSTITUTE(B1,"p","pp")</t>
  </si>
  <si>
    <t xml:space="preserve">=SUBSTITUTE(H1,"a","b")</t>
  </si>
  <si>
    <t xml:space="preserve">=SUBSTITUTE(A1,1,2)</t>
  </si>
  <si>
    <t xml:space="preserve">=SUBSTITUTE(B1,"","x")</t>
  </si>
  <si>
    <t xml:space="preserve">=SUBSTITUTE(D4,"a","b")</t>
  </si>
  <si>
    <t xml:space="preserve">=SUBSTITUTE("aaa","a","b",4)</t>
  </si>
  <si>
    <t xml:space="preserve">=SUBSTITUTE("abc","b","")</t>
  </si>
  <si>
    <t xml:space="preserve">=SUBSTITUTE(B1,"a","x",0)</t>
  </si>
  <si>
    <t xml:space="preserve">=TEXT(1234.5,"0")</t>
  </si>
  <si>
    <t xml:space="preserve">=TEXT(1234.567,"0.00")</t>
  </si>
  <si>
    <t xml:space="preserve">=TEXT(1234567.891,"#,##0")</t>
  </si>
  <si>
    <t xml:space="preserve">=TEXT(1234567.891,"#,##0.00")</t>
  </si>
  <si>
    <t xml:space="preserve">=TEXT(0.256,"0%")</t>
  </si>
  <si>
    <t xml:space="preserve">=TEXT(0.256,"0.0%")</t>
  </si>
  <si>
    <t xml:space="preserve">=TEXT(E1,"yyyy-mm-dd")</t>
  </si>
  <si>
    <t xml:space="preserve">=TEXT(E1,"dd.mm.yyyy")</t>
  </si>
  <si>
    <t xml:space="preserve">=TEXT(E1,"mm/dd/yyyy")</t>
  </si>
  <si>
    <t xml:space="preserve">=TEXT(B1,"@")</t>
  </si>
  <si>
    <t xml:space="preserve">=TEXT(A1,"@")</t>
  </si>
  <si>
    <t xml:space="preserve">=TEXT(-2,"0.00")</t>
  </si>
  <si>
    <t xml:space="preserve">=TEXT(C2,"#,##0.00")</t>
  </si>
  <si>
    <t xml:space="preserve">=TEXT(0,"0.00")</t>
  </si>
  <si>
    <t xml:space="preserve">=TEXT(H1,"0")</t>
  </si>
  <si>
    <t xml:space="preserve">=TEXT(D4,"0")</t>
  </si>
  <si>
    <t xml:space="preserve">=TEXT(C6,"#,##0")</t>
  </si>
  <si>
    <t xml:space="preserve">=TEXT(C1,"0")</t>
  </si>
  <si>
    <t xml:space="preserve">=TEXT(-1234.5,"#,##0.00")</t>
  </si>
  <si>
    <t xml:space="preserve">=TEXT(E3,"yyyy-mm-dd")</t>
  </si>
  <si>
    <t xml:space="preserve">=TEXT(E2,"dd.mm.yyyy")</t>
  </si>
  <si>
    <t xml:space="preserve">=TEXT(B1,"0")</t>
  </si>
  <si>
    <t xml:space="preserve">=TEXT(0.5,"0%")</t>
  </si>
  <si>
    <t xml:space="preserve">=TEXT(1,"0.0%")</t>
  </si>
  <si>
    <t xml:space="preserve">=TEXT(E4,"0.0%")</t>
  </si>
  <si>
    <t xml:space="preserve">=TEXT(D5,"0.00")</t>
  </si>
  <si>
    <t xml:space="preserve">=TEXT(0.005,"0.00")</t>
  </si>
  <si>
    <t xml:space="preserve">=TEXT(999.995,"0.00")</t>
  </si>
  <si>
    <t xml:space="preserve">=VALUE("123")</t>
  </si>
  <si>
    <t xml:space="preserve">=VALUE("1.5")</t>
  </si>
  <si>
    <t xml:space="preserve">=VALUE("abc")</t>
  </si>
  <si>
    <t xml:space="preserve">=VALUE("")</t>
  </si>
  <si>
    <t xml:space="preserve">=VALUE(D5)</t>
  </si>
  <si>
    <t xml:space="preserve">=VALUE(A1)</t>
  </si>
  <si>
    <t xml:space="preserve">=VALUE(D4)</t>
  </si>
  <si>
    <t xml:space="preserve">=VALUE(H1)</t>
  </si>
  <si>
    <t xml:space="preserve">=VALUE(" 12 ")</t>
  </si>
  <si>
    <t xml:space="preserve">=VALUE("1e3")</t>
  </si>
  <si>
    <t xml:space="preserve">=VALUE("50%")</t>
  </si>
  <si>
    <t xml:space="preserve">=VALUE("-7")</t>
  </si>
  <si>
    <t xml:space="preserve">=VALUE(TRUE)</t>
  </si>
  <si>
    <t xml:space="preserve">=VALUE("2024-01-15")</t>
  </si>
  <si>
    <t xml:space="preserve">=VALUE(B1)</t>
  </si>
  <si>
    <t xml:space="preserve">=EXACT("a","a")</t>
  </si>
  <si>
    <t xml:space="preserve">=EXACT("a","A")</t>
  </si>
  <si>
    <t xml:space="preserve">=EXACT(B1,"apple")</t>
  </si>
  <si>
    <t xml:space="preserve">=EXACT(A1,1)</t>
  </si>
  <si>
    <t xml:space="preserve">=EXACT(D4,"")</t>
  </si>
  <si>
    <t xml:space="preserve">=EXACT(D3,D4)</t>
  </si>
  <si>
    <t xml:space="preserve">=EXACT(H1,"a")</t>
  </si>
  <si>
    <t xml:space="preserve">=EXACT(B1,B2)</t>
  </si>
  <si>
    <t xml:space="preserve">=EXACT(D5,42)</t>
  </si>
  <si>
    <t xml:space="preserve">=EXACT("a ","a")</t>
  </si>
  <si>
    <t xml:space="preserve">=VLOOKUP(200,F1:G4,2,FALSE)</t>
  </si>
  <si>
    <t xml:space="preserve">=VLOOKUP(200,F1:G4,2)</t>
  </si>
  <si>
    <t xml:space="preserve">=VLOOKUP(250,F1:G4,2,TRUE)</t>
  </si>
  <si>
    <t xml:space="preserve">=VLOOKUP(50,F1:G4,2,TRUE)</t>
  </si>
  <si>
    <t xml:space="preserve">=VLOOKUP(999,F1:G4,2,FALSE)</t>
  </si>
  <si>
    <t xml:space="preserve">=VLOOKUP(500,F1:G4,2,TRUE)</t>
  </si>
  <si>
    <t xml:space="preserve">=VLOOKUP(100,F1:G4,1,FALSE)</t>
  </si>
  <si>
    <t xml:space="preserve">=VLOOKUP(100,F1:G4,3,FALSE)</t>
  </si>
  <si>
    <t xml:space="preserve">=VLOOKUP(100,F1:G4,0,FALSE)</t>
  </si>
  <si>
    <t xml:space="preserve">=VLOOKUP(H1,F1:G4,2,FALSE)</t>
  </si>
  <si>
    <t xml:space="preserve">=VLOOKUP("apple",B1:C6,2,FALSE)</t>
  </si>
  <si>
    <t xml:space="preserve">=VLOOKUP("APPLE",B1:C6,2,FALSE)</t>
  </si>
  <si>
    <t xml:space="preserve">=VLOOKUP("fi*",B1:C6,2,FALSE)</t>
  </si>
  <si>
    <t xml:space="preserve">=VLOOKUP(3,A1:C6,3,FALSE)</t>
  </si>
  <si>
    <t xml:space="preserve">=VLOOKUP("3",A1:A6,1,FALSE)</t>
  </si>
  <si>
    <t xml:space="preserve">=VLOOKUP(D4,F1:G4,2,FALSE)</t>
  </si>
  <si>
    <t xml:space="preserve">=VLOOKUP(300,F1:G4,2,0)</t>
  </si>
  <si>
    <t xml:space="preserve">=HLOOKUP(1,A1:F6,2,FALSE)</t>
  </si>
  <si>
    <t xml:space="preserve">=HLOOKUP("apple",A1:F6,3,FALSE)</t>
  </si>
  <si>
    <t xml:space="preserve">=HLOOKUP(TRUE,A1:F6,2,FALSE)</t>
  </si>
  <si>
    <t xml:space="preserve">=HLOOKUP(45306,A1:F6,2,FALSE)</t>
  </si>
  <si>
    <t xml:space="preserve">=HLOOKUP(100,A1:F6,4,FALSE)</t>
  </si>
  <si>
    <t xml:space="preserve">=HLOOKUP(999,A1:F6,2,FALSE)</t>
  </si>
  <si>
    <t xml:space="preserve">=HLOOKUP(1,A1:F6,7,FALSE)</t>
  </si>
  <si>
    <t xml:space="preserve">=HLOOKUP(H1,A1:F6,2,FALSE)</t>
  </si>
  <si>
    <t xml:space="preserve">=HLOOKUP(1,A1:F6,0,FALSE)</t>
  </si>
  <si>
    <t xml:space="preserve">=HLOOKUP(10.5,A1:F6,2,FALSE)</t>
  </si>
  <si>
    <t xml:space="preserve">=HLOOKUP("APPLE",A1:F6,5,FALSE)</t>
  </si>
  <si>
    <t xml:space="preserve">=HLOOKUP(1,A1:F6,1,FALSE)</t>
  </si>
  <si>
    <t xml:space="preserve">=INDEX(A1:A6,3)</t>
  </si>
  <si>
    <t xml:space="preserve">=INDEX(A1:C6,2,2)</t>
  </si>
  <si>
    <t xml:space="preserve">=INDEX(A1:C6,6,3)</t>
  </si>
  <si>
    <t xml:space="preserve">=INDEX(A1:A6,10)</t>
  </si>
  <si>
    <t xml:space="preserve">=INDEX(A1:C6,2,5)</t>
  </si>
  <si>
    <t xml:space="preserve">=INDEX(D1:D6,4)</t>
  </si>
  <si>
    <t xml:space="preserve">=INDEX(H1:H2,1)</t>
  </si>
  <si>
    <t xml:space="preserve">=INDEX(A1:A6,H1)</t>
  </si>
  <si>
    <t xml:space="preserve">=INDEX(A1:A6,-1)</t>
  </si>
  <si>
    <t xml:space="preserve">=INDEX(F1:G4,3,2)</t>
  </si>
  <si>
    <t xml:space="preserve">=INDEX(A1:F1,5)</t>
  </si>
  <si>
    <t xml:space="preserve">=INDEX(B1:B6,"2")</t>
  </si>
  <si>
    <t xml:space="preserve">=INDEX(A1:A6,2.9)</t>
  </si>
  <si>
    <t xml:space="preserve">=INDEX(A1:C6,1,1)</t>
  </si>
  <si>
    <t xml:space="preserve">=MATCH(3,A1:A6,0)</t>
  </si>
  <si>
    <t xml:space="preserve">=MATCH(3.5,A1:A6,1)</t>
  </si>
  <si>
    <t xml:space="preserve">=MATCH("cherry",B1:B6,0)</t>
  </si>
  <si>
    <t xml:space="preserve">=MATCH("CHERRY",B1:B6,0)</t>
  </si>
  <si>
    <t xml:space="preserve">=MATCH("zzz",B1:B6,0)</t>
  </si>
  <si>
    <t xml:space="preserve">=MATCH("c*",B1:B6,0)</t>
  </si>
  <si>
    <t xml:space="preserve">=MATCH(0,A1:A6,1)</t>
  </si>
  <si>
    <t xml:space="preserve">=MATCH(100,F1:F4,0)</t>
  </si>
  <si>
    <t xml:space="preserve">=MATCH(250,F1:F4,1)</t>
  </si>
  <si>
    <t xml:space="preserve">=MATCH(500,F1:F4,1)</t>
  </si>
  <si>
    <t xml:space="preserve">=MATCH(300,F1:F4)</t>
  </si>
  <si>
    <t xml:space="preserve">=MATCH(H1,A1:A6,0)</t>
  </si>
  <si>
    <t xml:space="preserve">=MATCH(D4,A1:A6,0)</t>
  </si>
  <si>
    <t xml:space="preserve">=MATCH(TRUE,D1:D6,0)</t>
  </si>
  <si>
    <t xml:space="preserve">=MATCH(FALSE,D1:D6,0)</t>
  </si>
  <si>
    <t xml:space="preserve">=MATCH("fig",B1:B6,0)</t>
  </si>
  <si>
    <t xml:space="preserve">=MATCH("",D1:D6,0)</t>
  </si>
  <si>
    <t xml:space="preserve">=CHOOSE(1,"a","b","c")</t>
  </si>
  <si>
    <t xml:space="preserve">=CHOOSE(3,"a","b","c")</t>
  </si>
  <si>
    <t xml:space="preserve">=CHOOSE(2.9,"a","b","c")</t>
  </si>
  <si>
    <t xml:space="preserve">=CHOOSE(0,"a","b")</t>
  </si>
  <si>
    <t xml:space="preserve">=CHOOSE(4,"a","b","c")</t>
  </si>
  <si>
    <t xml:space="preserve">=CHOOSE(A2,B1,B2,B3)</t>
  </si>
  <si>
    <t xml:space="preserve">=CHOOSE(H1,1,2)</t>
  </si>
  <si>
    <t xml:space="preserve">=CHOOSE(2,1,1/0)</t>
  </si>
  <si>
    <t xml:space="preserve">=CHOOSE(1,1,1/0)</t>
  </si>
  <si>
    <t xml:space="preserve">=CHOOSE("2","a","b")</t>
  </si>
  <si>
    <t xml:space="preserve">=CHOOSE(TRUE,"a","b")</t>
  </si>
  <si>
    <t xml:space="preserve">=CHOOSE(2,A1,D4)</t>
  </si>
  <si>
    <t xml:space="preserve">=ROW(A1)</t>
  </si>
  <si>
    <t xml:space="preserve">=ROW(C5)</t>
  </si>
  <si>
    <t xml:space="preserve">=SUM(ROW(B2:B4))</t>
  </si>
  <si>
    <t xml:space="preserve">=ROW(Other!A5)</t>
  </si>
  <si>
    <t xml:space="preserve">=ROW(Z100)</t>
  </si>
  <si>
    <t xml:space="preserve">=ROW(H1)</t>
  </si>
  <si>
    <t xml:space="preserve">=ROW(INDEX(A1:A6,3))</t>
  </si>
  <si>
    <t xml:space="preserve">=ROW(D4)+1</t>
  </si>
  <si>
    <t xml:space="preserve">=COLUMN(A1)</t>
  </si>
  <si>
    <t xml:space="preserve">=COLUMN(C5)</t>
  </si>
  <si>
    <t xml:space="preserve">=COLUMN(AA1)</t>
  </si>
  <si>
    <t xml:space="preserve">=COLUMN(Other!B1)</t>
  </si>
  <si>
    <t xml:space="preserve">=COLUMN(H1)</t>
  </si>
  <si>
    <t xml:space="preserve">=SUM(COLUMN(A1:C1))</t>
  </si>
  <si>
    <t xml:space="preserve">=COLUMN(INDEX(A1:H6,1,5))</t>
  </si>
  <si>
    <t xml:space="preserve">=COLUMN(XFD1)</t>
  </si>
  <si>
    <t xml:space="preserve">=TODAY()</t>
  </si>
  <si>
    <t xml:space="preserve">=INT(TODAY())=TODAY()</t>
  </si>
  <si>
    <t xml:space="preserve">=TODAY()&gt;45306</t>
  </si>
  <si>
    <t xml:space="preserve">=YEAR(TODAY())&gt;=2024</t>
  </si>
  <si>
    <t xml:space="preserve">=TODAY()-TODAY()</t>
  </si>
  <si>
    <t xml:space="preserve">=TODAY()+H1</t>
  </si>
  <si>
    <t xml:space="preserve">=ISNUMBER(TODAY())</t>
  </si>
  <si>
    <t xml:space="preserve">=TODAY()-E1&gt;0</t>
  </si>
  <si>
    <t xml:space="preserve">=NOW()</t>
  </si>
  <si>
    <t xml:space="preserve">=NOW()&gt;=TODAY()</t>
  </si>
  <si>
    <t xml:space="preserve">=INT(NOW())=TODAY()</t>
  </si>
  <si>
    <t xml:space="preserve">=ISNUMBER(NOW())</t>
  </si>
  <si>
    <t xml:space="preserve">=NOW()+H1</t>
  </si>
  <si>
    <t xml:space="preserve">=MOD(NOW(),1)&lt;1</t>
  </si>
  <si>
    <t xml:space="preserve">=NOW()&gt;E1</t>
  </si>
  <si>
    <t xml:space="preserve">=NOW()-TODAY()&lt;1</t>
  </si>
  <si>
    <t xml:space="preserve">=DATE(2024,1,15)</t>
  </si>
  <si>
    <t xml:space="preserve">=DATE(2024,13,1)</t>
  </si>
  <si>
    <t xml:space="preserve">=DATE(2024,1,0)</t>
  </si>
  <si>
    <t xml:space="preserve">=DATE(2024,2,30)</t>
  </si>
  <si>
    <t xml:space="preserve">=DATE(1900,1,1)</t>
  </si>
  <si>
    <t xml:space="preserve">=DATE(2024,0,1)</t>
  </si>
  <si>
    <t xml:space="preserve">=DATE(YEAR(E1),MONTH(E1),DAY(E1))</t>
  </si>
  <si>
    <t xml:space="preserve">=DATE(H1,1,1)</t>
  </si>
  <si>
    <t xml:space="preserve">=DATE(1,1,1)</t>
  </si>
  <si>
    <t xml:space="preserve">=DATE(2024,-1,1)</t>
  </si>
  <si>
    <t xml:space="preserve">=DATE("2024","1","15")</t>
  </si>
  <si>
    <t xml:space="preserve">=DATE(2024,1,15.9)</t>
  </si>
  <si>
    <t xml:space="preserve">=DATE(10000,1,1)</t>
  </si>
  <si>
    <t xml:space="preserve">=DATE(2024,1,D4)</t>
  </si>
  <si>
    <t xml:space="preserve">=YEAR(45306)</t>
  </si>
  <si>
    <t xml:space="preserve">=YEAR(E1)</t>
  </si>
  <si>
    <t xml:space="preserve">=YEAR(E3)</t>
  </si>
  <si>
    <t xml:space="preserve">=YEAR(0)</t>
  </si>
  <si>
    <t xml:space="preserve">=YEAR(-1)</t>
  </si>
  <si>
    <t xml:space="preserve">=YEAR("2024-01-15")</t>
  </si>
  <si>
    <t xml:space="preserve">=YEAR(H1)</t>
  </si>
  <si>
    <t xml:space="preserve">=YEAR(D4)</t>
  </si>
  <si>
    <t xml:space="preserve">=YEAR(E4)</t>
  </si>
  <si>
    <t xml:space="preserve">=YEAR(DATE(2000,2,29))</t>
  </si>
  <si>
    <t xml:space="preserve">=YEAR(B1)</t>
  </si>
  <si>
    <t xml:space="preserve">=YEAR(2958465)</t>
  </si>
  <si>
    <t xml:space="preserve">=MONTH(E1)</t>
  </si>
  <si>
    <t xml:space="preserve">=MONTH(E2)</t>
  </si>
  <si>
    <t xml:space="preserve">=MONTH(45306.75)</t>
  </si>
  <si>
    <t xml:space="preserve">=MONTH(0)</t>
  </si>
  <si>
    <t xml:space="preserve">=MONTH(-1)</t>
  </si>
  <si>
    <t xml:space="preserve">=MONTH(H1)</t>
  </si>
  <si>
    <t xml:space="preserve">=MONTH("2024-12-31")</t>
  </si>
  <si>
    <t xml:space="preserve">=MONTH(D4)</t>
  </si>
  <si>
    <t xml:space="preserve">=MONTH(DATE(2024,2,30))</t>
  </si>
  <si>
    <t xml:space="preserve">=MONTH(B1)</t>
  </si>
  <si>
    <t xml:space="preserve">=MONTH(60)</t>
  </si>
  <si>
    <t xml:space="preserve">=MONTH(59)</t>
  </si>
  <si>
    <t xml:space="preserve">=DAY(E1)</t>
  </si>
  <si>
    <t xml:space="preserve">=DAY(E2)</t>
  </si>
  <si>
    <t xml:space="preserve">=DAY(E3)</t>
  </si>
  <si>
    <t xml:space="preserve">=DAY(0)</t>
  </si>
  <si>
    <t xml:space="preserve">=DAY(1)</t>
  </si>
  <si>
    <t xml:space="preserve">=DAY(H1)</t>
  </si>
  <si>
    <t xml:space="preserve">=DAY("2024-01-15")</t>
  </si>
  <si>
    <t xml:space="preserve">=DAY(D4)</t>
  </si>
  <si>
    <t xml:space="preserve">=DAY(B1)</t>
  </si>
  <si>
    <t xml:space="preserve">=DAY(DATE(2024,3,0))</t>
  </si>
  <si>
    <t xml:space="preserve">=DAY(-1)</t>
  </si>
  <si>
    <t xml:space="preserve">=DAY(60)</t>
  </si>
  <si>
    <t xml:space="preserve">=WEEKDAY(E1)</t>
  </si>
  <si>
    <t xml:space="preserve">=WEEKDAY(E1,2)</t>
  </si>
  <si>
    <t xml:space="preserve">=WEEKDAY(E1,3)</t>
  </si>
  <si>
    <t xml:space="preserve">=WEEKDAY(E2)</t>
  </si>
  <si>
    <t xml:space="preserve">=WEEKDAY(E2,2)</t>
  </si>
  <si>
    <t xml:space="preserve">=WEEKDAY(DATE(2024,1,14))</t>
  </si>
  <si>
    <t xml:space="preserve">=WEEKDAY(DATE(2024,1,14),2)</t>
  </si>
  <si>
    <t xml:space="preserve">=WEEKDAY(E1,11)</t>
  </si>
  <si>
    <t xml:space="preserve">=WEEKDAY(E1,17)</t>
  </si>
  <si>
    <t xml:space="preserve">=WEEKDAY(E1,4)</t>
  </si>
  <si>
    <t xml:space="preserve">=WEEKDAY(H1)</t>
  </si>
  <si>
    <t xml:space="preserve">=WEEKDAY(E3)</t>
  </si>
  <si>
    <t xml:space="preserve">=WEEKDAY(0)</t>
  </si>
  <si>
    <t xml:space="preserve">=WEEKDAY(1)</t>
  </si>
  <si>
    <t xml:space="preserve">=WEEKDAY(D4)</t>
  </si>
  <si>
    <t xml:space="preserve">=WEEKDAY(B1)</t>
  </si>
  <si>
    <t xml:space="preserve">=WEEKDAY(-1)</t>
  </si>
  <si>
    <t xml:space="preserve">=WEEKDAY(E1,12)</t>
  </si>
  <si>
    <t xml:space="preserve">=WEEKDAY("2024-01-15")</t>
  </si>
  <si>
    <t xml:space="preserve">=DAYS(E2,E1)</t>
  </si>
  <si>
    <t xml:space="preserve">=DAYS(E1,E2)</t>
  </si>
  <si>
    <t xml:space="preserve">=DAYS(E1,E1)</t>
  </si>
  <si>
    <t xml:space="preserve">=DAYS(DATE(2024,3,1),DATE(2024,2,1))</t>
  </si>
  <si>
    <t xml:space="preserve">=DAYS("2024-12-31","2024-01-15")</t>
  </si>
  <si>
    <t xml:space="preserve">=DAYS(E3,E1)</t>
  </si>
  <si>
    <t xml:space="preserve">=DAYS(H1,E1)</t>
  </si>
  <si>
    <t xml:space="preserve">=DAYS(E1,H2)</t>
  </si>
  <si>
    <t xml:space="preserve">=DAYS(B1,E1)</t>
  </si>
  <si>
    <t xml:space="preserve">=DAYS(D4,E1)</t>
  </si>
  <si>
    <t xml:space="preserve">=DAYS(E2,E1)+1</t>
  </si>
  <si>
    <t xml:space="preserve">=1+2*3</t>
  </si>
  <si>
    <t xml:space="preserve">=(1+2)*3</t>
  </si>
  <si>
    <t xml:space="preserve">=2*3+4</t>
  </si>
  <si>
    <t xml:space="preserve">=10-2-3</t>
  </si>
  <si>
    <t xml:space="preserve">=2/4/2</t>
  </si>
  <si>
    <t xml:space="preserve">=2^3^2</t>
  </si>
  <si>
    <t xml:space="preserve">=-2^2</t>
  </si>
  <si>
    <t xml:space="preserve">=--1</t>
  </si>
  <si>
    <t xml:space="preserve">=---1</t>
  </si>
  <si>
    <t xml:space="preserve">=+1</t>
  </si>
  <si>
    <t xml:space="preserve">=5%</t>
  </si>
  <si>
    <t xml:space="preserve">=50%*2</t>
  </si>
  <si>
    <t xml:space="preserve">=200*5%</t>
  </si>
  <si>
    <t xml:space="preserve">=2^-1</t>
  </si>
  <si>
    <t xml:space="preserve">=-A1^2</t>
  </si>
  <si>
    <t xml:space="preserve">=10%%</t>
  </si>
  <si>
    <t xml:space="preserve">=1+2&amp;3</t>
  </si>
  <si>
    <t xml:space="preserve">=1&amp;2+3</t>
  </si>
  <si>
    <t xml:space="preserve">=1&amp;TRUE</t>
  </si>
  <si>
    <t xml:space="preserve">=TRUE&amp;FALSE</t>
  </si>
  <si>
    <t xml:space="preserve">="a"&amp;1.5</t>
  </si>
  <si>
    <t xml:space="preserve">=1/4&amp;""</t>
  </si>
  <si>
    <t xml:space="preserve">=1E3&amp;""</t>
  </si>
  <si>
    <t xml:space="preserve">=D4&amp;"x"</t>
  </si>
  <si>
    <t xml:space="preserve">=D4&amp;D4</t>
  </si>
  <si>
    <t xml:space="preserve">=A1&amp;B1</t>
  </si>
  <si>
    <t xml:space="preserve">=E1&amp;""</t>
  </si>
  <si>
    <t xml:space="preserve">=C1&amp;""</t>
  </si>
  <si>
    <t xml:space="preserve">=0.1+0.2</t>
  </si>
  <si>
    <t xml:space="preserve">=0.1+0.2=0.3</t>
  </si>
  <si>
    <t xml:space="preserve">=1/3</t>
  </si>
  <si>
    <t xml:space="preserve">=2^0.5</t>
  </si>
  <si>
    <t xml:space="preserve">=1&lt;2</t>
  </si>
  <si>
    <t xml:space="preserve">=2&lt;=2</t>
  </si>
  <si>
    <t xml:space="preserve">=1&lt;&gt;1</t>
  </si>
  <si>
    <t xml:space="preserve">=1=1.0</t>
  </si>
  <si>
    <t xml:space="preserve">="a"="A"</t>
  </si>
  <si>
    <t xml:space="preserve">="a"="b"</t>
  </si>
  <si>
    <t xml:space="preserve">="a"&lt;"b"</t>
  </si>
  <si>
    <t xml:space="preserve">="B"&lt;"a"</t>
  </si>
  <si>
    <t xml:space="preserve">="apple"&lt;"banana"</t>
  </si>
  <si>
    <t xml:space="preserve">="a"&gt;1</t>
  </si>
  <si>
    <t xml:space="preserve">=1&gt;"a"</t>
  </si>
  <si>
    <t xml:space="preserve">="1"=1</t>
  </si>
  <si>
    <t xml:space="preserve">="1"&gt;1</t>
  </si>
  <si>
    <t xml:space="preserve">=TRUE&gt;1</t>
  </si>
  <si>
    <t xml:space="preserve">=TRUE&gt;"a"</t>
  </si>
  <si>
    <t xml:space="preserve">=FALSE&gt;"zzz"</t>
  </si>
  <si>
    <t xml:space="preserve">=TRUE=1</t>
  </si>
  <si>
    <t xml:space="preserve">=FALSE=0</t>
  </si>
  <si>
    <t xml:space="preserve">=D4=0</t>
  </si>
  <si>
    <t xml:space="preserve">=D4=""</t>
  </si>
  <si>
    <t xml:space="preserve">=D3=""</t>
  </si>
  <si>
    <t xml:space="preserve">=D4=FALSE</t>
  </si>
  <si>
    <t xml:space="preserve">=A1=1</t>
  </si>
  <si>
    <t xml:space="preserve">=B1="APPLE"</t>
  </si>
  <si>
    <t xml:space="preserve">=B1&gt;A1</t>
  </si>
  <si>
    <t xml:space="preserve">=E4&lt;1</t>
  </si>
  <si>
    <t xml:space="preserve">=""&lt;"a"</t>
  </si>
  <si>
    <t xml:space="preserve">=""=0</t>
  </si>
  <si>
    <t xml:space="preserve">="a"&lt;&gt;"A"</t>
  </si>
  <si>
    <t xml:space="preserve">=H1=1</t>
  </si>
  <si>
    <t xml:space="preserve">=H1&gt;1</t>
  </si>
  <si>
    <t xml:space="preserve">=1&lt;&gt;"1"</t>
  </si>
  <si>
    <t xml:space="preserve">=C2&lt;0</t>
  </si>
  <si>
    <t xml:space="preserve">=D3=D4</t>
  </si>
  <si>
    <t xml:space="preserve">=1+1=2</t>
  </si>
  <si>
    <t xml:space="preserve">=2&gt;1=TRUE</t>
  </si>
  <si>
    <t xml:space="preserve">="a"&amp;"b"="ab"</t>
  </si>
  <si>
    <t xml:space="preserve">=1&amp;1=11</t>
  </si>
  <si>
    <t xml:space="preserve">=1/0</t>
  </si>
  <si>
    <t xml:space="preserve">=0/0</t>
  </si>
  <si>
    <t xml:space="preserve">=1/D4</t>
  </si>
  <si>
    <t xml:space="preserve">=D4/1</t>
  </si>
  <si>
    <t xml:space="preserve">="3"+1</t>
  </si>
  <si>
    <t xml:space="preserve">="a"+1</t>
  </si>
  <si>
    <t xml:space="preserve">=TRUE+1</t>
  </si>
  <si>
    <t xml:space="preserve">=TRUE+TRUE</t>
  </si>
  <si>
    <t xml:space="preserve">=FALSE*5</t>
  </si>
  <si>
    <t xml:space="preserve">=D4+1</t>
  </si>
  <si>
    <t xml:space="preserve">=D4*5</t>
  </si>
  <si>
    <t xml:space="preserve">=D3+1</t>
  </si>
  <si>
    <t xml:space="preserve">=D5+1</t>
  </si>
  <si>
    <t xml:space="preserve">=D6+1</t>
  </si>
  <si>
    <t xml:space="preserve">=""+1</t>
  </si>
  <si>
    <t xml:space="preserve">=" 3 "+1</t>
  </si>
  <si>
    <t xml:space="preserve">="1e2"+1</t>
  </si>
  <si>
    <t xml:space="preserve">="0x10"+1</t>
  </si>
  <si>
    <t xml:space="preserve">=B1+1</t>
  </si>
  <si>
    <t xml:space="preserve">=A1+A2*A3</t>
  </si>
  <si>
    <t xml:space="preserve">=C1*2</t>
  </si>
  <si>
    <t xml:space="preserve">=C6/A2</t>
  </si>
  <si>
    <t xml:space="preserve">=E1+1</t>
  </si>
  <si>
    <t xml:space="preserve">=E4*2</t>
  </si>
  <si>
    <t xml:space="preserve">=-D4</t>
  </si>
  <si>
    <t xml:space="preserve">=-TRUE</t>
  </si>
  <si>
    <t xml:space="preserve">=-"3"</t>
  </si>
  <si>
    <t xml:space="preserve">=-B1</t>
  </si>
  <si>
    <t xml:space="preserve">=+B1</t>
  </si>
  <si>
    <t xml:space="preserve">=+D4</t>
  </si>
  <si>
    <t xml:space="preserve">="5"*"2"</t>
  </si>
  <si>
    <t xml:space="preserve">=1-"1"</t>
  </si>
  <si>
    <t xml:space="preserve">=2^"3"</t>
  </si>
  <si>
    <t xml:space="preserve">=H1+1</t>
  </si>
  <si>
    <t xml:space="preserve">=1+H2</t>
  </si>
  <si>
    <t xml:space="preserve">=H1+H2</t>
  </si>
  <si>
    <t xml:space="preserve">=H2+H1</t>
  </si>
  <si>
    <t xml:space="preserve">=10%+A1</t>
  </si>
  <si>
    <t xml:space="preserve">=1E308*10</t>
  </si>
  <si>
    <t xml:space="preserve">=-1E308*10</t>
  </si>
  <si>
    <t xml:space="preserve">=0^0</t>
  </si>
  <si>
    <t xml:space="preserve">=(-8)^(1/3)</t>
  </si>
  <si>
    <t xml:space="preserve">=4^0.5</t>
  </si>
  <si>
    <t xml:space="preserve">=Other!A1*2</t>
  </si>
  <si>
    <t xml:space="preserve">=Other!B1</t>
  </si>
  <si>
    <t xml:space="preserve">=Other!B1&amp;"!"</t>
  </si>
  <si>
    <t xml:space="preserve">=Other!A1+A1</t>
  </si>
  <si>
    <t xml:space="preserve">=SUM(Data!A1:A6)</t>
  </si>
  <si>
    <t xml:space="preserve">=SUM(Other!A1:B1)</t>
  </si>
  <si>
    <t xml:space="preserve">=Data!A1</t>
  </si>
  <si>
    <t xml:space="preserve">=Data!B1&amp;Other!B1</t>
  </si>
  <si>
    <t xml:space="preserve">=COUNT(Data!A1:H6)</t>
  </si>
  <si>
    <t xml:space="preserve">=COUNTA(Data!A1:H6)</t>
  </si>
  <si>
    <t xml:space="preserve">=SUM(A1:A3,Other!A1)</t>
  </si>
  <si>
    <t xml:space="preserve">=AVERAGE(Other!A1,A1)</t>
  </si>
  <si>
    <t xml:space="preserve">=SUM($A$1:$A$3)</t>
  </si>
  <si>
    <t xml:space="preserve">=SUM(A$1:A3)</t>
  </si>
  <si>
    <t xml:space="preserve">=$A1+A$2</t>
  </si>
  <si>
    <t xml:space="preserve">=INDEX(Other!A1:B1,2)</t>
  </si>
  <si>
    <t xml:space="preserve">=A1+Other!A1+Data!A2</t>
  </si>
  <si>
    <t xml:space="preserve">=Z99</t>
  </si>
  <si>
    <t xml:space="preserve">=Other!Z99</t>
  </si>
  <si>
    <t xml:space="preserve">=SUM(A:A)</t>
  </si>
  <si>
    <t xml:space="preserve">=COUNT(A:A)</t>
  </si>
  <si>
    <t xml:space="preserve">=SUM(A:B)</t>
  </si>
  <si>
    <t xml:space="preserve">=SUM(C:C)</t>
  </si>
  <si>
    <t xml:space="preserve">='Data'!A1</t>
  </si>
  <si>
    <t xml:space="preserve">='Other'!B1</t>
  </si>
  <si>
    <t xml:space="preserve">=SUM(Data!A1:A3,Other!A1:B1)</t>
  </si>
  <si>
    <t xml:space="preserve">=Other!A1+H1</t>
  </si>
  <si>
    <t xml:space="preserve">=SUM(Data!H1:H2)</t>
  </si>
  <si>
    <t xml:space="preserve">=MAX(Data!C1:C6)-MIN(Other!A1,0)</t>
  </si>
  <si>
    <t xml:space="preserve">=SUM(A1:A3)*Other!A1</t>
  </si>
  <si>
    <t xml:space="preserve">=SUM(A1:C3 B2:C6)</t>
  </si>
  <si>
    <t xml:space="preserve">=A1:A6 A3:C3</t>
  </si>
  <si>
    <t xml:space="preserve">=SUM(A1:A3 C4:C6)</t>
  </si>
  <si>
    <t xml:space="preserve">=ISERROR(A1 C2)</t>
  </si>
  <si>
    <t xml:space="preserve">=SUM((A1:A3,C1:C2))</t>
  </si>
  <si>
    <t xml:space="preserve">=COUNT((A1,A3,C1:C6))</t>
  </si>
  <si>
    <t xml:space="preserve">=MAX((A1:A2,C1,F1:F4))</t>
  </si>
  <si>
    <t xml:space="preserve">=AVERAGE((A1:A2,A5:A6))</t>
  </si>
  <si>
    <t xml:space="preserve">=AREAS(A1:C6)</t>
  </si>
  <si>
    <t xml:space="preserve">=AREAS((A1:A3,C1,F1:F4))</t>
  </si>
  <si>
    <t xml:space="preserve">=AREAS(A1:C3 B2:C6)</t>
  </si>
  <si>
    <t xml:space="preserve">=AREAS((A1,B1))+AREAS(Other!A1)</t>
  </si>
  <si>
    <t xml:space="preserve">=SUM(Data:Other!A1)</t>
  </si>
  <si>
    <t xml:space="preserve">=COUNT(Data:Other!A1:A2)</t>
  </si>
  <si>
    <t xml:space="preserve">=SUM($A:A)</t>
  </si>
  <si>
    <t xml:space="preserve">=SUM(2:$3)</t>
  </si>
  <si>
    <t xml:space="preserve">=#DIV/0!</t>
  </si>
  <si>
    <t xml:space="preserve">=#N/A</t>
  </si>
  <si>
    <t xml:space="preserve">=#VALUE!</t>
  </si>
  <si>
    <t xml:space="preserve">=#REF!</t>
  </si>
  <si>
    <t xml:space="preserve">=#NAME?</t>
  </si>
  <si>
    <t xml:space="preserve">=#NUM!</t>
  </si>
  <si>
    <t xml:space="preserve">=#NULL!</t>
  </si>
  <si>
    <t xml:space="preserve">=IFERROR(#DIV/0!,"e")</t>
  </si>
  <si>
    <t xml:space="preserve">=IFERROR(#N/A,"e")</t>
  </si>
  <si>
    <t xml:space="preserve">=IFERROR(#VALUE!,"e")</t>
  </si>
  <si>
    <t xml:space="preserve">=IFERROR(#REF!,"e")</t>
  </si>
  <si>
    <t xml:space="preserve">=IFERROR(#NAME?,"e")</t>
  </si>
  <si>
    <t xml:space="preserve">=IFERROR(#NUM!,"e")</t>
  </si>
  <si>
    <t xml:space="preserve">=IFERROR(#NULL!,"e")</t>
  </si>
  <si>
    <t xml:space="preserve">=ISERROR(#DIV/0!)</t>
  </si>
  <si>
    <t xml:space="preserve">=ISERROR(#N/A)</t>
  </si>
  <si>
    <t xml:space="preserve">=ISERROR(#VALUE!)</t>
  </si>
  <si>
    <t xml:space="preserve">=ISERROR(#REF!)</t>
  </si>
  <si>
    <t xml:space="preserve">=ISERROR(#NAME?)</t>
  </si>
  <si>
    <t xml:space="preserve">=ISERROR(#NUM!)</t>
  </si>
  <si>
    <t xml:space="preserve">=ISERROR(#NULL!)</t>
  </si>
  <si>
    <t xml:space="preserve">=ISNA(#N/A)</t>
  </si>
  <si>
    <t xml:space="preserve">=ISNA(#DIV/0!)</t>
  </si>
  <si>
    <t xml:space="preserve">=ISNA(#VALUE!)</t>
  </si>
  <si>
    <t xml:space="preserve">=ISNA(#REF!)</t>
  </si>
  <si>
    <t xml:space="preserve">=ISNA(#NAME?)</t>
  </si>
  <si>
    <t xml:space="preserve">=ISNA(#NUM!)</t>
  </si>
  <si>
    <t xml:space="preserve">=ISNA(#NULL!)</t>
  </si>
  <si>
    <t xml:space="preserve">=UNKNOWNFN(1)</t>
  </si>
  <si>
    <t xml:space="preserve">=H1</t>
  </si>
  <si>
    <t xml:space="preserve">=IF(ISERROR(H1),"bad","ok")</t>
  </si>
  <si>
    <t xml:space="preserve">=IF(ISNA(H2),"na",IF(ISERROR(H2),"err","ok"))</t>
  </si>
  <si>
    <t xml:space="preserve">=ISERROR(UNKNOWNFN(1))</t>
  </si>
  <si>
    <t xml:space="preserve">=ISNA(UNKNOWNFN(1))</t>
  </si>
  <si>
    <t xml:space="preserve">=#VALUE!+1</t>
  </si>
  <si>
    <t xml:space="preserve">=ABS(#NUM!)</t>
  </si>
  <si>
    <t xml:space="preserve">=#N/A&amp;"x"</t>
  </si>
  <si>
    <t xml:space="preserve">=MAX(#REF!,1)</t>
  </si>
  <si>
    <t xml:space="preserve">=CHOOSE(2,1,#NAME?)</t>
  </si>
  <si>
    <t xml:space="preserve">=SQRT(-1)+1</t>
  </si>
  <si>
    <t xml:space="preserve">=IFERROR(SQRT(-1),"nan")</t>
  </si>
  <si>
    <t xml:space="preserve">=ISNA(SQRT(-1))</t>
  </si>
  <si>
    <t xml:space="preserve">=LEN(#N/A)</t>
  </si>
  <si>
    <t xml:space="preserve">=UNKNOWNFN(H1)</t>
  </si>
  <si>
    <t xml:space="preserve">=SUM(UNKNOWNFN(1),1)</t>
  </si>
  <si>
    <t xml:space="preserve">=MATCH(1,B1:B6,0)</t>
  </si>
  <si>
    <t xml:space="preserve">=Nope!A1</t>
  </si>
  <si>
    <t xml:space="preserve">=#N/A+#DIV/0!</t>
  </si>
  <si>
    <t xml:space="preserve">=#DIV/0!+#N/A</t>
  </si>
  <si>
    <t xml:space="preserve">=IF(#N/A,1,2)</t>
  </si>
  <si>
    <t xml:space="preserve">=-#NUM!</t>
  </si>
  <si>
    <t xml:space="preserve">=1/0+NA()</t>
  </si>
  <si>
    <t xml:space="preserve">=TRUNC(8.9)</t>
  </si>
  <si>
    <t xml:space="preserve">=TRUNC(-8.9)</t>
  </si>
  <si>
    <t xml:space="preserve">=TRUNC(3.14159,2)</t>
  </si>
  <si>
    <t xml:space="preserve">=TRUNC(1234.5,-2)</t>
  </si>
  <si>
    <t xml:space="preserve">=TRUNC(C1)</t>
  </si>
  <si>
    <t xml:space="preserve">=CEILING.MATH(6.3)</t>
  </si>
  <si>
    <t xml:space="preserve">=CEILING.MATH(-5.5,2)</t>
  </si>
  <si>
    <t xml:space="preserve">=CEILING.MATH(-5.5,2,1)</t>
  </si>
  <si>
    <t xml:space="preserve">=CEILING.MATH(6.3,0)</t>
  </si>
  <si>
    <t xml:space="preserve">=CEILING.MATH(24.3,5)</t>
  </si>
  <si>
    <t xml:space="preserve">=FLOOR.MATH(6.7)</t>
  </si>
  <si>
    <t xml:space="preserve">=FLOOR.MATH(-5.5,2)</t>
  </si>
  <si>
    <t xml:space="preserve">=FLOOR.MATH(-5.5,2,1)</t>
  </si>
  <si>
    <t xml:space="preserve">=FLOOR.MATH(24.3,5)</t>
  </si>
  <si>
    <t xml:space="preserve">=FLOOR(3.7,2)</t>
  </si>
  <si>
    <t xml:space="preserve">=FLOOR(-2.5,2)</t>
  </si>
  <si>
    <t xml:space="preserve">=FLOOR(-2.5,-2)</t>
  </si>
  <si>
    <t xml:space="preserve">=FLOOR(2.5,-2)</t>
  </si>
  <si>
    <t xml:space="preserve">=FLOOR(3,0)</t>
  </si>
  <si>
    <t xml:space="preserve">=MROUND(10,3)</t>
  </si>
  <si>
    <t xml:space="preserve">=MROUND(-10,-3)</t>
  </si>
  <si>
    <t xml:space="preserve">=MROUND(1.3,0.2)</t>
  </si>
  <si>
    <t xml:space="preserve">=MROUND(5,-2)</t>
  </si>
  <si>
    <t xml:space="preserve">=MROUND(7,0)</t>
  </si>
  <si>
    <t xml:space="preserve">=EXP(0)</t>
  </si>
  <si>
    <t xml:space="preserve">=EXP(1)</t>
  </si>
  <si>
    <t xml:space="preserve">=EXP(-1)</t>
  </si>
  <si>
    <t xml:space="preserve">=EXP(A2)</t>
  </si>
  <si>
    <t xml:space="preserve">=EXP(B1)</t>
  </si>
  <si>
    <t xml:space="preserve">=LN(1)</t>
  </si>
  <si>
    <t xml:space="preserve">=LN(EXP(2))</t>
  </si>
  <si>
    <t xml:space="preserve">=LN(0)</t>
  </si>
  <si>
    <t xml:space="preserve">=LN(-1)</t>
  </si>
  <si>
    <t xml:space="preserve">=LN(A6)</t>
  </si>
  <si>
    <t xml:space="preserve">=LOG(100)</t>
  </si>
  <si>
    <t xml:space="preserve">=LOG(8,2)</t>
  </si>
  <si>
    <t xml:space="preserve">=LOG(10,10)</t>
  </si>
  <si>
    <t xml:space="preserve">=LOG(5,1)</t>
  </si>
  <si>
    <t xml:space="preserve">=LOG(-1)</t>
  </si>
  <si>
    <t xml:space="preserve">=LOG10(1000)</t>
  </si>
  <si>
    <t xml:space="preserve">=LOG10(0.01)</t>
  </si>
  <si>
    <t xml:space="preserve">=LOG10(0)</t>
  </si>
  <si>
    <t xml:space="preserve">=LOG10(A4)</t>
  </si>
  <si>
    <t xml:space="preserve">=SIGN(-5)</t>
  </si>
  <si>
    <t xml:space="preserve">=SIGN(0)</t>
  </si>
  <si>
    <t xml:space="preserve">=SIGN(C1)</t>
  </si>
  <si>
    <t xml:space="preserve">=SIGN(C2)</t>
  </si>
  <si>
    <t xml:space="preserve">=SIGN(B1)</t>
  </si>
  <si>
    <t xml:space="preserve">=AND(RAND()&gt;=0,RAND()&lt;1)</t>
  </si>
  <si>
    <t xml:space="preserve">=INT(RAND())</t>
  </si>
  <si>
    <t xml:space="preserve">=RAND()&lt;&gt;RAND()</t>
  </si>
  <si>
    <t xml:space="preserve">=IF(RAND()&lt;1,"ok","bad")</t>
  </si>
  <si>
    <t xml:space="preserve">=RANDBETWEEN(5,5)</t>
  </si>
  <si>
    <t xml:space="preserve">=AND(RANDBETWEEN(1,6)&gt;=1,RANDBETWEEN(1,6)&lt;=6)</t>
  </si>
  <si>
    <t xml:space="preserve">=RANDBETWEEN(3,1)</t>
  </si>
  <si>
    <t xml:space="preserve">=RANDBETWEEN(-2,-2)</t>
  </si>
  <si>
    <t xml:space="preserve">=SUMSQ(3,4)</t>
  </si>
  <si>
    <t xml:space="preserve">=SUMSQ(A1:A3)</t>
  </si>
  <si>
    <t xml:space="preserve">=SUMSQ(C1:C3)</t>
  </si>
  <si>
    <t xml:space="preserve">=SUMSQ(A1:A2,B1:B3)</t>
  </si>
  <si>
    <t xml:space="preserve">=SUMSQ(H1)</t>
  </si>
  <si>
    <t xml:space="preserve">=SQRTPI(1)</t>
  </si>
  <si>
    <t xml:space="preserve">=SQRTPI(2)</t>
  </si>
  <si>
    <t xml:space="preserve">=SQRTPI(0)</t>
  </si>
  <si>
    <t xml:space="preserve">=SQRTPI(-1)</t>
  </si>
  <si>
    <t xml:space="preserve">=FACT(5)</t>
  </si>
  <si>
    <t xml:space="preserve">=FACT(0)</t>
  </si>
  <si>
    <t xml:space="preserve">=FACT(5.9)</t>
  </si>
  <si>
    <t xml:space="preserve">=FACT(-1)</t>
  </si>
  <si>
    <t xml:space="preserve">=FACT(171)</t>
  </si>
  <si>
    <t xml:space="preserve">=FACTDOUBLE(6)</t>
  </si>
  <si>
    <t xml:space="preserve">=FACTDOUBLE(7)</t>
  </si>
  <si>
    <t xml:space="preserve">=FACTDOUBLE(0)</t>
  </si>
  <si>
    <t xml:space="preserve">=FACTDOUBLE(-2)</t>
  </si>
  <si>
    <t xml:space="preserve">=COMBIN(8,2)</t>
  </si>
  <si>
    <t xml:space="preserve">=COMBIN(5,0)</t>
  </si>
  <si>
    <t xml:space="preserve">=COMBIN(5,5)</t>
  </si>
  <si>
    <t xml:space="preserve">=COMBIN(3,5)</t>
  </si>
  <si>
    <t xml:space="preserve">=COMBIN(10.9,2.5)</t>
  </si>
  <si>
    <t xml:space="preserve">=PERMUT(5,2)</t>
  </si>
  <si>
    <t xml:space="preserve">=PERMUT(3,3)</t>
  </si>
  <si>
    <t xml:space="preserve">=PERMUT(3,0)</t>
  </si>
  <si>
    <t xml:space="preserve">=PERMUT(2,3)</t>
  </si>
  <si>
    <t xml:space="preserve">=GCD(24,36)</t>
  </si>
  <si>
    <t xml:space="preserve">=GCD(5,0)</t>
  </si>
  <si>
    <t xml:space="preserve">=GCD(A1:A6)</t>
  </si>
  <si>
    <t xml:space="preserve">=GCD(-1,2)</t>
  </si>
  <si>
    <t xml:space="preserve">=GCD(7.9,14)</t>
  </si>
  <si>
    <t xml:space="preserve">=LCM(4,6)</t>
  </si>
  <si>
    <t xml:space="preserve">=LCM(A1:A6)</t>
  </si>
  <si>
    <t xml:space="preserve">=LCM(0,5)</t>
  </si>
  <si>
    <t xml:space="preserve">=LCM(-1,2)</t>
  </si>
  <si>
    <t xml:space="preserve">=QUOTIENT(7,2)</t>
  </si>
  <si>
    <t xml:space="preserve">=QUOTIENT(-7,2)</t>
  </si>
  <si>
    <t xml:space="preserve">=QUOTIENT(5,0)</t>
  </si>
  <si>
    <t xml:space="preserve">=QUOTIENT(C1,A2)</t>
  </si>
  <si>
    <t xml:space="preserve">=EVEN(3)</t>
  </si>
  <si>
    <t xml:space="preserve">=EVEN(-1)</t>
  </si>
  <si>
    <t xml:space="preserve">=EVEN(2)</t>
  </si>
  <si>
    <t xml:space="preserve">=EVEN(1.5)</t>
  </si>
  <si>
    <t xml:space="preserve">=EVEN(0)</t>
  </si>
  <si>
    <t xml:space="preserve">=ODD(2)</t>
  </si>
  <si>
    <t xml:space="preserve">=ODD(-2)</t>
  </si>
  <si>
    <t xml:space="preserve">=ODD(3)</t>
  </si>
  <si>
    <t xml:space="preserve">=ODD(1.5)</t>
  </si>
  <si>
    <t xml:space="preserve">=ODD(0)</t>
  </si>
  <si>
    <t xml:space="preserve">=SIN(0)</t>
  </si>
  <si>
    <t xml:space="preserve">=SIN(PI()/2)</t>
  </si>
  <si>
    <t xml:space="preserve">=SIN(1)</t>
  </si>
  <si>
    <t xml:space="preserve">=SIN(B1)</t>
  </si>
  <si>
    <t xml:space="preserve">=COS(0)</t>
  </si>
  <si>
    <t xml:space="preserve">=COS(PI())</t>
  </si>
  <si>
    <t xml:space="preserve">=COS(1)</t>
  </si>
  <si>
    <t xml:space="preserve">=COS(H1)</t>
  </si>
  <si>
    <t xml:space="preserve">=TAN(0)</t>
  </si>
  <si>
    <t xml:space="preserve">=TAN(1)</t>
  </si>
  <si>
    <t xml:space="preserve">=TAN(-1)</t>
  </si>
  <si>
    <t xml:space="preserve">=TAN(A2)</t>
  </si>
  <si>
    <t xml:space="preserve">=ASIN(1)</t>
  </si>
  <si>
    <t xml:space="preserve">=ASIN(0.5)</t>
  </si>
  <si>
    <t xml:space="preserve">=ASIN(2)</t>
  </si>
  <si>
    <t xml:space="preserve">=ASIN(-1)</t>
  </si>
  <si>
    <t xml:space="preserve">=ACOS(1)</t>
  </si>
  <si>
    <t xml:space="preserve">=ACOS(-1)</t>
  </si>
  <si>
    <t xml:space="preserve">=ACOS(0.5)</t>
  </si>
  <si>
    <t xml:space="preserve">=ACOS(2)</t>
  </si>
  <si>
    <t xml:space="preserve">=ATAN(1)</t>
  </si>
  <si>
    <t xml:space="preserve">=ATAN(0)</t>
  </si>
  <si>
    <t xml:space="preserve">=ATAN(-1)</t>
  </si>
  <si>
    <t xml:space="preserve">=ATAN(1000000)</t>
  </si>
  <si>
    <t xml:space="preserve">=ATAN2(1,1)</t>
  </si>
  <si>
    <t xml:space="preserve">=ATAN2(-1,-1)</t>
  </si>
  <si>
    <t xml:space="preserve">=ATAN2(0,0)</t>
  </si>
  <si>
    <t xml:space="preserve">=ATAN2(1,0)</t>
  </si>
  <si>
    <t xml:space="preserve">=SINH(1)</t>
  </si>
  <si>
    <t xml:space="preserve">=SINH(0)</t>
  </si>
  <si>
    <t xml:space="preserve">=SINH(-2)</t>
  </si>
  <si>
    <t xml:space="preserve">=SINH(B1)</t>
  </si>
  <si>
    <t xml:space="preserve">=COSH(0)</t>
  </si>
  <si>
    <t xml:space="preserve">=COSH(1)</t>
  </si>
  <si>
    <t xml:space="preserve">=COSH(-2)</t>
  </si>
  <si>
    <t xml:space="preserve">=COSH(H2)</t>
  </si>
  <si>
    <t xml:space="preserve">=TANH(0)</t>
  </si>
  <si>
    <t xml:space="preserve">=TANH(1)</t>
  </si>
  <si>
    <t xml:space="preserve">=TANH(-0.5)</t>
  </si>
  <si>
    <t xml:space="preserve">=TANH(100)</t>
  </si>
  <si>
    <t xml:space="preserve">=DEGREES(PI())</t>
  </si>
  <si>
    <t xml:space="preserve">=DEGREES(1)</t>
  </si>
  <si>
    <t xml:space="preserve">=DEGREES(0)</t>
  </si>
  <si>
    <t xml:space="preserve">=DEGREES(B1)</t>
  </si>
  <si>
    <t xml:space="preserve">=RADIANS(180)</t>
  </si>
  <si>
    <t xml:space="preserve">=RADIANS(90)</t>
  </si>
  <si>
    <t xml:space="preserve">=RADIANS(0)</t>
  </si>
  <si>
    <t xml:space="preserve">=RADIANS(-45)</t>
  </si>
  <si>
    <t xml:space="preserve">=SUMX2MY2({2,3,9,1,8,7,5},{6,5,11,7,5,4,4})</t>
  </si>
  <si>
    <t xml:space="preserve">=SUMX2MY2(A1:A3,A4:A6)</t>
  </si>
  <si>
    <t xml:space="preserve">=SUMX2MY2(A1:A3,A1:A4)</t>
  </si>
  <si>
    <t xml:space="preserve">=SUMX2MY2(A1:A3,H1:H3)</t>
  </si>
  <si>
    <t xml:space="preserve">=SUMX2PY2({2,3,9,1,8,7,5},{6,5,11,7,5,4,4})</t>
  </si>
  <si>
    <t xml:space="preserve">=SUMX2PY2(A1:A3,A4:A6)</t>
  </si>
  <si>
    <t xml:space="preserve">=SUMX2PY2(A1:A3,A1:A4)</t>
  </si>
  <si>
    <t xml:space="preserve">=SUMX2PY2(F1:F2,A1:A2)</t>
  </si>
  <si>
    <t xml:space="preserve">=SUBTOTAL(9,A1:A6)</t>
  </si>
  <si>
    <t xml:space="preserve">=SUBTOTAL(109,A1:A6,C1:C6)</t>
  </si>
  <si>
    <t xml:space="preserve">=SUBTOTAL(1,C1:C6)</t>
  </si>
  <si>
    <t xml:space="preserve">=SUBTOTAL(2,A1:B6)</t>
  </si>
  <si>
    <t xml:space="preserve">=SUBTOTAL(103,A1:B6)</t>
  </si>
  <si>
    <t xml:space="preserve">=SUBTOTAL(4,C1:C6)</t>
  </si>
  <si>
    <t xml:space="preserve">=SUBTOTAL(105,C1:C6)</t>
  </si>
  <si>
    <t xml:space="preserve">=SUBTOTAL(6,A1:A4)</t>
  </si>
  <si>
    <t xml:space="preserve">=SUBTOTAL(7,A1:A6)</t>
  </si>
  <si>
    <t xml:space="preserve">=SUBTOTAL(108,A1:A6)</t>
  </si>
  <si>
    <t xml:space="preserve">=SUBTOTAL(10,F1:F4)</t>
  </si>
  <si>
    <t xml:space="preserve">=SUBTOTAL(111,F1:F4)</t>
  </si>
  <si>
    <t xml:space="preserve">=SUBTOTAL(9,A1:A3,H1)</t>
  </si>
  <si>
    <t xml:space="preserve">=SUBTOTAL(9.9,A1:A3)</t>
  </si>
  <si>
    <t xml:space="preserve">=SUMXMY2({2,3,9,1,8,7,5},{6,5,11,7,5,4,4})</t>
  </si>
  <si>
    <t xml:space="preserve">=SUMXMY2(A1:A3,A4:A6)</t>
  </si>
  <si>
    <t xml:space="preserve">=SUMXMY2(A1:A3,A1:A4)</t>
  </si>
  <si>
    <t xml:space="preserve">=SUMXMY2(F1:F2,A1:A2)</t>
  </si>
  <si>
    <t xml:space="preserve">=COUNTBLANK(D1:D6)</t>
  </si>
  <si>
    <t xml:space="preserve">=COUNTBLANK(A1:A6)</t>
  </si>
  <si>
    <t xml:space="preserve">=COUNTBLANK(D3:D4)</t>
  </si>
  <si>
    <t xml:space="preserve">=COUNTBLANK(J1:J4)</t>
  </si>
  <si>
    <t xml:space="preserve">=SUMIFS(A1:A6,B1:B6,"*a*")</t>
  </si>
  <si>
    <t xml:space="preserve">=SUMIFS(A1:A6,A1:A6,"&gt;2",A1:A6,"&lt;5")</t>
  </si>
  <si>
    <t xml:space="preserve">=SUMIFS(C1:C6,A1:A6,"&gt;=3")</t>
  </si>
  <si>
    <t xml:space="preserve">=SUMIFS(A1:A6,A1:A6,"&gt;2",B1:B3,"x")</t>
  </si>
  <si>
    <t xml:space="preserve">=SUMIFS(F1:F4,A1:A4,2)</t>
  </si>
  <si>
    <t xml:space="preserve">=SUMIFS(A1:A2,H1:H2,"#N/A")</t>
  </si>
  <si>
    <t xml:space="preserve">=COUNTIFS(A1:A6,"&gt;2")</t>
  </si>
  <si>
    <t xml:space="preserve">=COUNTIFS(A1:A6,"&gt;2",C1:C6,"&lt;50")</t>
  </si>
  <si>
    <t xml:space="preserve">=COUNTIFS(B1:B6,"?????")</t>
  </si>
  <si>
    <t xml:space="preserve">=COUNTIFS(A1:A6,"&gt;2",B1:B5,"a*")</t>
  </si>
  <si>
    <t xml:space="preserve">=COUNTIFS(D1:D6,"")</t>
  </si>
  <si>
    <t xml:space="preserve">=COUNTIFS(A1:A6,"&lt;&gt;3",A1:A6,"&lt;&gt;4")</t>
  </si>
  <si>
    <t xml:space="preserve">=AVERAGEIFS(A1:A6,A1:A6,"&gt;2")</t>
  </si>
  <si>
    <t xml:space="preserve">=AVERAGEIFS(C1:C6,A1:A6,"&lt;=3")</t>
  </si>
  <si>
    <t xml:space="preserve">=AVERAGEIFS(A1:A6,A1:A6,"&gt;10")</t>
  </si>
  <si>
    <t xml:space="preserve">=AVERAGEIFS(A1:A6,B1:B6,"*e*")</t>
  </si>
  <si>
    <t xml:space="preserve">=AVERAGEIF(A1:A6,"&gt;3")</t>
  </si>
  <si>
    <t xml:space="preserve">=AVERAGEIF(B1:B6,"*e*",A1:A6)</t>
  </si>
  <si>
    <t xml:space="preserve">=AVERAGEIF(A1:A6,"&gt;10")</t>
  </si>
  <si>
    <t xml:space="preserve">=AVERAGEIF(C1:C6,"&lt;&gt;0")</t>
  </si>
  <si>
    <t xml:space="preserve">=AVERAGEIF(F1:F4,"&gt;=200")</t>
  </si>
  <si>
    <t xml:space="preserve">=MAXIFS(C1:C6,A1:A6,"&lt;=4")</t>
  </si>
  <si>
    <t xml:space="preserve">=MAXIFS(A1:A6,B1:B6,"*e*")</t>
  </si>
  <si>
    <t xml:space="preserve">=MAXIFS(A1:A6,A1:A6,"&gt;10")</t>
  </si>
  <si>
    <t xml:space="preserve">=MAXIFS(C1:C6,A1:A6,"&gt;=2",A1:A6,"&lt;=3")</t>
  </si>
  <si>
    <t xml:space="preserve">=MINIFS(C1:C6,A1:A6,"&lt;=4")</t>
  </si>
  <si>
    <t xml:space="preserve">=MINIFS(A1:A6,B1:B6,"*e*")</t>
  </si>
  <si>
    <t xml:space="preserve">=MINIFS(A1:A6,A1:A6,"&gt;10")</t>
  </si>
  <si>
    <t xml:space="preserve">=MINIFS(C1:C6,A1:A6,"&gt;=3")</t>
  </si>
  <si>
    <t xml:space="preserve">=MEDIAN(A1:A6)</t>
  </si>
  <si>
    <t xml:space="preserve">=MEDIAN(1,2,3)</t>
  </si>
  <si>
    <t xml:space="preserve">=MEDIAN(C1:C6)</t>
  </si>
  <si>
    <t xml:space="preserve">=MEDIAN(B1:B3)</t>
  </si>
  <si>
    <t xml:space="preserve">=MEDIAN(A1:A2,H1)</t>
  </si>
  <si>
    <t xml:space="preserve">=MEDIAN(A1:A5)</t>
  </si>
  <si>
    <t xml:space="preserve">=MODE(1,2,2,3,3,3)</t>
  </si>
  <si>
    <t xml:space="preserve">=MODE(A1:A6)</t>
  </si>
  <si>
    <t xml:space="preserve">=MODE(2,2,3,3)</t>
  </si>
  <si>
    <t xml:space="preserve">=MODE({1,2,2,3})</t>
  </si>
  <si>
    <t xml:space="preserve">=MODE.SNGL(1,2,2,3,3,3)</t>
  </si>
  <si>
    <t xml:space="preserve">=MODE.SNGL(A1:A6)</t>
  </si>
  <si>
    <t xml:space="preserve">=MODE.SNGL(2,2,3,3)</t>
  </si>
  <si>
    <t xml:space="preserve">=MODE.SNGL(B1:B3,5,5)</t>
  </si>
  <si>
    <t xml:space="preserve">=VAR(A1:A6)</t>
  </si>
  <si>
    <t xml:space="preserve">=VAR(5)</t>
  </si>
  <si>
    <t xml:space="preserve">=VAR(1,2)</t>
  </si>
  <si>
    <t xml:space="preserve">=VAR(B1:B3)</t>
  </si>
  <si>
    <t xml:space="preserve">=VAR.S(A1:A6)</t>
  </si>
  <si>
    <t xml:space="preserve">=VAR.S(C1:C4)</t>
  </si>
  <si>
    <t xml:space="preserve">=VAR.S(A1,H1)</t>
  </si>
  <si>
    <t xml:space="preserve">=VAR.S(A1)</t>
  </si>
  <si>
    <t xml:space="preserve">=VAR.P(A1:A6)</t>
  </si>
  <si>
    <t xml:space="preserve">=VAR.P(5)</t>
  </si>
  <si>
    <t xml:space="preserve">=VAR.P(C1:C4)</t>
  </si>
  <si>
    <t xml:space="preserve">=VAR.P(B1:B3)</t>
  </si>
  <si>
    <t xml:space="preserve">=VARP(A1:A6)</t>
  </si>
  <si>
    <t xml:space="preserve">=VARP(5)</t>
  </si>
  <si>
    <t xml:space="preserve">=VARP(1,2,3,4)</t>
  </si>
  <si>
    <t xml:space="preserve">=VARP(B1:B3)</t>
  </si>
  <si>
    <t xml:space="preserve">=STDEV(A1:A6)</t>
  </si>
  <si>
    <t xml:space="preserve">=STDEV(5)</t>
  </si>
  <si>
    <t xml:space="preserve">=STDEV(1,2)</t>
  </si>
  <si>
    <t xml:space="preserve">=STDEV(B1:B3)</t>
  </si>
  <si>
    <t xml:space="preserve">=STDEV.S(A1:A6)</t>
  </si>
  <si>
    <t xml:space="preserve">=STDEV.S(C1:C4)</t>
  </si>
  <si>
    <t xml:space="preserve">=STDEV.S(1)</t>
  </si>
  <si>
    <t xml:space="preserve">=STDEV.S(A1,H1)</t>
  </si>
  <si>
    <t xml:space="preserve">=STDEV.P(A1:A6)</t>
  </si>
  <si>
    <t xml:space="preserve">=STDEV.P(5)</t>
  </si>
  <si>
    <t xml:space="preserve">=STDEV.P(C1:C4)</t>
  </si>
  <si>
    <t xml:space="preserve">=STDEV.P(B1:B3)</t>
  </si>
  <si>
    <t xml:space="preserve">=STDEVP(A1:A6)</t>
  </si>
  <si>
    <t xml:space="preserve">=STDEVP(5)</t>
  </si>
  <si>
    <t xml:space="preserve">=STDEVP(1,2,3,4)</t>
  </si>
  <si>
    <t xml:space="preserve">=STDEVP(B1:B3)</t>
  </si>
  <si>
    <t xml:space="preserve">=LARGE(A1:A6,2)</t>
  </si>
  <si>
    <t xml:space="preserve">=LARGE(A1:A6,7)</t>
  </si>
  <si>
    <t xml:space="preserve">=LARGE(C1:C6,1)</t>
  </si>
  <si>
    <t xml:space="preserve">=LARGE(A1:A6,0)</t>
  </si>
  <si>
    <t xml:space="preserve">=LARGE(A1:A6,1.5)</t>
  </si>
  <si>
    <t xml:space="preserve">=SMALL(A1:A6,1)</t>
  </si>
  <si>
    <t xml:space="preserve">=SMALL(C1:C6,2)</t>
  </si>
  <si>
    <t xml:space="preserve">=SMALL(B1:B6,1)</t>
  </si>
  <si>
    <t xml:space="preserve">=SMALL(A1:A6,6)</t>
  </si>
  <si>
    <t xml:space="preserve">=RANK(3,A1:A6)</t>
  </si>
  <si>
    <t xml:space="preserve">=RANK(3,A1:A6,1)</t>
  </si>
  <si>
    <t xml:space="preserve">=RANK(9,A1:A6)</t>
  </si>
  <si>
    <t xml:space="preserve">=RANK(100,C1:C6)</t>
  </si>
  <si>
    <t xml:space="preserve">=RANK.EQ(100,C1:C6)</t>
  </si>
  <si>
    <t xml:space="preserve">=RANK.EQ(1,A1:A6,1)</t>
  </si>
  <si>
    <t xml:space="preserve">=RANK.EQ(9,A1:A6)</t>
  </si>
  <si>
    <t xml:space="preserve">=RANK.EQ(0,C1:C6,1)</t>
  </si>
  <si>
    <t xml:space="preserve">=RANK.AVG(3,A1:A6)</t>
  </si>
  <si>
    <t xml:space="preserve">=RANK.AVG(1,A1:A6,1)</t>
  </si>
  <si>
    <t xml:space="preserve">=RANK.AVG(9,A1:A6)</t>
  </si>
  <si>
    <t xml:space="preserve">=RANK.AVG(100,C1:C6)</t>
  </si>
  <si>
    <t xml:space="preserve">=PERCENTILE(A1:A6,0.5)</t>
  </si>
  <si>
    <t xml:space="preserve">=PERCENTILE(A1:A6,0.25)</t>
  </si>
  <si>
    <t xml:space="preserve">=PERCENTILE(A1:A6,0)</t>
  </si>
  <si>
    <t xml:space="preserve">=PERCENTILE(A1:A6,1.5)</t>
  </si>
  <si>
    <t xml:space="preserve">=PERCENTILE.INC(A1:A6,0.9)</t>
  </si>
  <si>
    <t xml:space="preserve">=PERCENTILE.INC(C1:C6,0.5)</t>
  </si>
  <si>
    <t xml:space="preserve">=PERCENTILE.INC(A1:A6,1)</t>
  </si>
  <si>
    <t xml:space="preserve">=PERCENTILE.INC(B1:B3,0.5)</t>
  </si>
  <si>
    <t xml:space="preserve">=PERCENTILE.EXC(A1:A6,0.5)</t>
  </si>
  <si>
    <t xml:space="preserve">=PERCENTILE.EXC(A1:A6,0.25)</t>
  </si>
  <si>
    <t xml:space="preserve">=PERCENTILE.EXC(A1:A6,0.1)</t>
  </si>
  <si>
    <t xml:space="preserve">=PERCENTILE.EXC(A1:A6,0.8)</t>
  </si>
  <si>
    <t xml:space="preserve">=QUARTILE(A1:A6,1)</t>
  </si>
  <si>
    <t xml:space="preserve">=QUARTILE(A1:A6,3)</t>
  </si>
  <si>
    <t xml:space="preserve">=QUARTILE(A1:A6,0)</t>
  </si>
  <si>
    <t xml:space="preserve">=QUARTILE(A1:A6,5)</t>
  </si>
  <si>
    <t xml:space="preserve">=QUARTILE.INC(A1:A6,2)</t>
  </si>
  <si>
    <t xml:space="preserve">=QUARTILE.INC(C1:C6,1)</t>
  </si>
  <si>
    <t xml:space="preserve">=QUARTILE.INC(A1:A6,4)</t>
  </si>
  <si>
    <t xml:space="preserve">=QUARTILE.INC(A1:A6,-1)</t>
  </si>
  <si>
    <t xml:space="preserve">=QUARTILE.EXC(A1:A6,1)</t>
  </si>
  <si>
    <t xml:space="preserve">=QUARTILE.EXC(A1:A6,3)</t>
  </si>
  <si>
    <t xml:space="preserve">=QUARTILE.EXC(A1:A6,0)</t>
  </si>
  <si>
    <t xml:space="preserve">=QUARTILE.EXC(A1:A6,4)</t>
  </si>
  <si>
    <t xml:space="preserve">=PERCENTRANK(A1:A6,3)</t>
  </si>
  <si>
    <t xml:space="preserve">=PERCENTRANK(A1:A6,3.5)</t>
  </si>
  <si>
    <t xml:space="preserve">=PERCENTRANK(A1:A6,7)</t>
  </si>
  <si>
    <t xml:space="preserve">=PERCENTRANK(A1:A6,1)</t>
  </si>
  <si>
    <t xml:space="preserve">=PERCENTRANK.INC(A1:A6,2.5,2)</t>
  </si>
  <si>
    <t xml:space="preserve">=PERCENTRANK.INC(A1:A6,6)</t>
  </si>
  <si>
    <t xml:space="preserve">=PERCENTRANK.INC(A1:A6,0)</t>
  </si>
  <si>
    <t xml:space="preserve">=PERCENTRANK.INC(C1:C6,10.5)</t>
  </si>
  <si>
    <t xml:space="preserve">=CORREL(A1:A4,F1:F4)</t>
  </si>
  <si>
    <t xml:space="preserve">=CORREL(A1:A4,{4;3;2;1})</t>
  </si>
  <si>
    <t xml:space="preserve">=CORREL(A1:A3,A1:A4)</t>
  </si>
  <si>
    <t xml:space="preserve">=CORREL(A1:A1,F1:F1)</t>
  </si>
  <si>
    <t xml:space="preserve">=CORREL(A1:A6,C1:C6)</t>
  </si>
  <si>
    <t xml:space="preserve">=COVAR(A1:A4,F1:F4)</t>
  </si>
  <si>
    <t xml:space="preserve">=COVAR(A1:A6,C1:C6)</t>
  </si>
  <si>
    <t xml:space="preserve">=COVAR(A1:A3,A1:A4)</t>
  </si>
  <si>
    <t xml:space="preserve">=COVAR(B1:B3,A1:A3)</t>
  </si>
  <si>
    <t xml:space="preserve">=COVARIANCE.P(A1:A4,F1:F4)</t>
  </si>
  <si>
    <t xml:space="preserve">=COVARIANCE.P(A1:A6,C1:C6)</t>
  </si>
  <si>
    <t xml:space="preserve">=COVARIANCE.P(A1:A3,A1:A4)</t>
  </si>
  <si>
    <t xml:space="preserve">=COVARIANCE.P(B1:B3,A1:A3)</t>
  </si>
  <si>
    <t xml:space="preserve">=COVARIANCE.S(A1:A4,F1:F4)</t>
  </si>
  <si>
    <t xml:space="preserve">=COVARIANCE.S(A1:A6,C1:C6)</t>
  </si>
  <si>
    <t xml:space="preserve">=COVARIANCE.S(A1:A3,A1:A4)</t>
  </si>
  <si>
    <t xml:space="preserve">=COVARIANCE.S(A1:A1,F1:F1)</t>
  </si>
  <si>
    <t xml:space="preserve">=SLOPE(F1:F4,A1:A4)</t>
  </si>
  <si>
    <t xml:space="preserve">=SLOPE(C1:C6,A1:A6)</t>
  </si>
  <si>
    <t xml:space="preserve">=SLOPE(F1:F4,A1:A3)</t>
  </si>
  <si>
    <t xml:space="preserve">=SLOPE(F1:F4,{1;1;1;1})</t>
  </si>
  <si>
    <t xml:space="preserve">=INTERCEPT(F1:F4,A1:A4)</t>
  </si>
  <si>
    <t xml:space="preserve">=INTERCEPT(C1:C6,A1:A6)</t>
  </si>
  <si>
    <t xml:space="preserve">=INTERCEPT(F1:F4,A1:A3)</t>
  </si>
  <si>
    <t xml:space="preserve">=INTERCEPT(F1:F4,{1;1;1;1})</t>
  </si>
  <si>
    <t xml:space="preserve">=RSQ(F1:F4,A1:A4)</t>
  </si>
  <si>
    <t xml:space="preserve">=RSQ(C1:C6,A1:A6)</t>
  </si>
  <si>
    <t xml:space="preserve">=RSQ(F1:F4,A1:A3)</t>
  </si>
  <si>
    <t xml:space="preserve">=RSQ(F1:F4,{1;1;1;1})</t>
  </si>
  <si>
    <t xml:space="preserve">=FORECAST(5,F1:F4,A1:A4)</t>
  </si>
  <si>
    <t xml:space="preserve">=FORECAST(7,C1:C6,A1:A6)</t>
  </si>
  <si>
    <t xml:space="preserve">=FORECAST(5,F1:F4,A1:A3)</t>
  </si>
  <si>
    <t xml:space="preserve">=FORECAST(B1,F1:F4,A1:A4)</t>
  </si>
  <si>
    <t xml:space="preserve">=FORECAST.LINEAR(10,F1:F4,A1:A4)</t>
  </si>
  <si>
    <t xml:space="preserve">=FORECAST.LINEAR(0,C1:C6,A1:A6)</t>
  </si>
  <si>
    <t xml:space="preserve">=FORECAST.LINEAR(5,F1:F4,A1:A3)</t>
  </si>
  <si>
    <t xml:space="preserve">=FORECAST.LINEAR(2.5,F1:F4,A1:A4)</t>
  </si>
  <si>
    <t xml:space="preserve">=TREND(F1:F4,A1:A4,5)</t>
  </si>
  <si>
    <t xml:space="preserve">=SUM(TREND(F1:F4,A1:A4,A5:A6))</t>
  </si>
  <si>
    <t xml:space="preserve">=INDEX(TREND(F1:F4),2)</t>
  </si>
  <si>
    <t xml:space="preserve">=TREND(F1:F4,A1:A4,5,FALSE)</t>
  </si>
  <si>
    <t xml:space="preserve">=TREND(A1:A4,F1:F4,250)</t>
  </si>
  <si>
    <t xml:space="preserve">=GEOMEAN(1,2,4)</t>
  </si>
  <si>
    <t xml:space="preserve">=GEOMEAN(A1:A6)</t>
  </si>
  <si>
    <t xml:space="preserve">=GEOMEAN(C1:C3)</t>
  </si>
  <si>
    <t xml:space="preserve">=GEOMEAN(B1:B2)</t>
  </si>
  <si>
    <t xml:space="preserve">=HARMEAN(1,2,4)</t>
  </si>
  <si>
    <t xml:space="preserve">=HARMEAN(A1:A3)</t>
  </si>
  <si>
    <t xml:space="preserve">=HARMEAN(C1:C3)</t>
  </si>
  <si>
    <t xml:space="preserve">=HARMEAN(B1:B2)</t>
  </si>
  <si>
    <t xml:space="preserve">=DEVSQ(A1:A6)</t>
  </si>
  <si>
    <t xml:space="preserve">=DEVSQ(1,2,3)</t>
  </si>
  <si>
    <t xml:space="preserve">=DEVSQ(C1:C4)</t>
  </si>
  <si>
    <t xml:space="preserve">=DEVSQ(B1:B3)</t>
  </si>
  <si>
    <t xml:space="preserve">=AVEDEV(A1:A6)</t>
  </si>
  <si>
    <t xml:space="preserve">=AVEDEV(1,2,3,4)</t>
  </si>
  <si>
    <t xml:space="preserve">=AVEDEV(C1:C4)</t>
  </si>
  <si>
    <t xml:space="preserve">=AVEDEV(B1:B3)</t>
  </si>
  <si>
    <t xml:space="preserve">=PMT(0.08/12,10,10000)</t>
  </si>
  <si>
    <t xml:space="preserve">=PMT(0,10,1000)</t>
  </si>
  <si>
    <t xml:space="preserve">=PMT(0.05,5,1000,0,1)</t>
  </si>
  <si>
    <t xml:space="preserve">=PMT(0.05,0,100)</t>
  </si>
  <si>
    <t xml:space="preserve">=PMT(0.06,12,-5000,1000)</t>
  </si>
  <si>
    <t xml:space="preserve">=FV(0.06/12,10,-200,-500,1)</t>
  </si>
  <si>
    <t xml:space="preserve">=FV(0,10,-100)</t>
  </si>
  <si>
    <t xml:space="preserve">=FV(0.05,5,-100,0,0)</t>
  </si>
  <si>
    <t xml:space="preserve">=FV(0.1,2,0,-100)</t>
  </si>
  <si>
    <t xml:space="preserve">=PV(0.08/12,240,500)</t>
  </si>
  <si>
    <t xml:space="preserve">=PV(0,5,-10)</t>
  </si>
  <si>
    <t xml:space="preserve">=PV(0.05,10,-100,0,1)</t>
  </si>
  <si>
    <t xml:space="preserve">=PV(0.05,10,0,1000)</t>
  </si>
  <si>
    <t xml:space="preserve">=NPER(0.12/12,-100,-1000,10000)</t>
  </si>
  <si>
    <t xml:space="preserve">=NPER(0,-100,1000)</t>
  </si>
  <si>
    <t xml:space="preserve">=NPER(0.05,-100,1000,0,1)</t>
  </si>
  <si>
    <t xml:space="preserve">=NPER(0.01,0,100)</t>
  </si>
  <si>
    <t xml:space="preserve">=IPMT(0.1/12,1,36,8000)</t>
  </si>
  <si>
    <t xml:space="preserve">=IPMT(0.1/12,3,36,8000)</t>
  </si>
  <si>
    <t xml:space="preserve">=IPMT(0.1,3,3,8000)</t>
  </si>
  <si>
    <t xml:space="preserve">=IPMT(0.1/12,1,36,8000,0,1)</t>
  </si>
  <si>
    <t xml:space="preserve">=IPMT(0.05,0,3,1000)</t>
  </si>
  <si>
    <t xml:space="preserve">=IPMT(0.05,2,3,1000,0,1)</t>
  </si>
  <si>
    <t xml:space="preserve">=PPMT(0.1/12,1,24,2000)</t>
  </si>
  <si>
    <t xml:space="preserve">=PPMT(0.08,10,10,200000)</t>
  </si>
  <si>
    <t xml:space="preserve">=PPMT(0.05,2,3,1000,0,1)</t>
  </si>
  <si>
    <t xml:space="preserve">=PPMT(0.05,4,3,1000)</t>
  </si>
  <si>
    <t xml:space="preserve">=NPV(0.1,-10000,3000,4200,6800)</t>
  </si>
  <si>
    <t xml:space="preserve">=NPV(0.1,A1:A3)</t>
  </si>
  <si>
    <t xml:space="preserve">=NPV(-1,1,2)</t>
  </si>
  <si>
    <t xml:space="preserve">=NPV(0.08,F1:F4)</t>
  </si>
  <si>
    <t xml:space="preserve">=ROUND(IRR({-70000,12000,15000,18000,21000,26000}),6)</t>
  </si>
  <si>
    <t xml:space="preserve">=ROUND(IRR({-100,110}),6)</t>
  </si>
  <si>
    <t xml:space="preserve">=IRR({1,2,3})</t>
  </si>
  <si>
    <t xml:space="preserve">=ROUND(IRR({-1000,300,400,500},0.2),6)</t>
  </si>
  <si>
    <t xml:space="preserve">=ROUND(RATE(48,-200,8000),6)</t>
  </si>
  <si>
    <t xml:space="preserve">=ROUND(RATE(10,0,-100,200),6)</t>
  </si>
  <si>
    <t xml:space="preserve">=RATE(0,-100,1000)</t>
  </si>
  <si>
    <t xml:space="preserve">=ROUND(RATE(12,-100,1000),6)</t>
  </si>
  <si>
    <t xml:space="preserve">=SLN(30000,7500,10)</t>
  </si>
  <si>
    <t xml:space="preserve">=SLN(100,0,4)</t>
  </si>
  <si>
    <t xml:space="preserve">=SLN(100,10,0)</t>
  </si>
  <si>
    <t xml:space="preserve">=SLN(F1,0,4)</t>
  </si>
  <si>
    <t xml:space="preserve">=SYD(30000,7500,10,1)</t>
  </si>
  <si>
    <t xml:space="preserve">=SYD(30000,7500,10,10)</t>
  </si>
  <si>
    <t xml:space="preserve">=SYD(100,0,4,5)</t>
  </si>
  <si>
    <t xml:space="preserve">=SYD(100,0,4,0)</t>
  </si>
  <si>
    <t xml:space="preserve">=DB(1000000,100000,6,1,7)</t>
  </si>
  <si>
    <t xml:space="preserve">=DB(1000000,100000,6,2,7)</t>
  </si>
  <si>
    <t xml:space="preserve">=DB(1000000,100000,6,7,7)</t>
  </si>
  <si>
    <t xml:space="preserve">=DB(1000000,100000,6,1)</t>
  </si>
  <si>
    <t xml:space="preserve">=DB(1000,100,5,6)</t>
  </si>
  <si>
    <t xml:space="preserve">=DDB(2400,300,10*365,1)</t>
  </si>
  <si>
    <t xml:space="preserve">=DDB(2400,300,10,1,2)</t>
  </si>
  <si>
    <t xml:space="preserve">=DDB(2400,300,10,2,2)</t>
  </si>
  <si>
    <t xml:space="preserve">=DDB(2400,300,10,10)</t>
  </si>
  <si>
    <t xml:space="preserve">=DDB(100,0,5,6)</t>
  </si>
  <si>
    <t xml:space="preserve">=EFFECT(0.0525,4)</t>
  </si>
  <si>
    <t xml:space="preserve">=EFFECT(0.1,1)</t>
  </si>
  <si>
    <t xml:space="preserve">=EFFECT(0,4)</t>
  </si>
  <si>
    <t xml:space="preserve">=EFFECT(0.1,0)</t>
  </si>
  <si>
    <t xml:space="preserve">=NOMINAL(0.053543,4)</t>
  </si>
  <si>
    <t xml:space="preserve">=NOMINAL(0.1,1)</t>
  </si>
  <si>
    <t xml:space="preserve">=NOMINAL(0,4)</t>
  </si>
  <si>
    <t xml:space="preserve">=NOMINAL(0.1,0)</t>
  </si>
  <si>
    <t xml:space="preserve">=ROUND(MIRR({-120000,39000,30000,21000,37000,46000},0.1,0.12),6)</t>
  </si>
  <si>
    <t xml:space="preserve">=MIRR({1,2,3},0.1,0.1)</t>
  </si>
  <si>
    <t xml:space="preserve">=ROUND(MIRR({-100,50,60},0.05,0.05),6)</t>
  </si>
  <si>
    <t xml:space="preserve">=MIRR({-100,-50},0.1,0.1)</t>
  </si>
  <si>
    <t xml:space="preserve">=IFS(A1&gt;5,"a",A1&gt;0,"b")</t>
  </si>
  <si>
    <t xml:space="preserve">=IFS(FALSE,1,TRUE,2)</t>
  </si>
  <si>
    <t xml:space="preserve">=IFS(FALSE,1,FALSE,2)</t>
  </si>
  <si>
    <t xml:space="preserve">=IFS(TRUE,1,1/0,2)</t>
  </si>
  <si>
    <t xml:space="preserve">=IFS(A1,"x")</t>
  </si>
  <si>
    <t xml:space="preserve">=SWITCH(2,1,"a",2,"b","z")</t>
  </si>
  <si>
    <t xml:space="preserve">=SWITCH(9,1,"a",2,"b","z")</t>
  </si>
  <si>
    <t xml:space="preserve">=SWITCH(9,1,"a")</t>
  </si>
  <si>
    <t xml:space="preserve">=SWITCH("B","a",1,"b",2)</t>
  </si>
  <si>
    <t xml:space="preserve">=SWITCH(A3,1,"one",3,"three")</t>
  </si>
  <si>
    <t xml:space="preserve">=IFNA(H2,"x")</t>
  </si>
  <si>
    <t xml:space="preserve">=IFNA(H1,"x")</t>
  </si>
  <si>
    <t xml:space="preserve">=IFNA(5,"x")</t>
  </si>
  <si>
    <t xml:space="preserve">=IFNA(MATCH(9,A1:A6,0),0)</t>
  </si>
  <si>
    <t xml:space="preserve">=XOR(TRUE,FALSE)</t>
  </si>
  <si>
    <t xml:space="preserve">=XOR(TRUE,TRUE)</t>
  </si>
  <si>
    <t xml:space="preserve">=XOR(TRUE,TRUE,TRUE)</t>
  </si>
  <si>
    <t xml:space="preserve">=XOR(1,0,0)</t>
  </si>
  <si>
    <t xml:space="preserve">=XOR(H1)</t>
  </si>
  <si>
    <t xml:space="preserve">=ISLOGICAL(TRUE)</t>
  </si>
  <si>
    <t xml:space="preserve">=ISLOGICAL(1)</t>
  </si>
  <si>
    <t xml:space="preserve">=ISLOGICAL("TRUE")</t>
  </si>
  <si>
    <t xml:space="preserve">=ISLOGICAL(1=1)</t>
  </si>
  <si>
    <t xml:space="preserve">=ISEVEN(2)</t>
  </si>
  <si>
    <t xml:space="preserve">=ISEVEN(3)</t>
  </si>
  <si>
    <t xml:space="preserve">=ISEVEN(-2.9)</t>
  </si>
  <si>
    <t xml:space="preserve">=ISEVEN("a")</t>
  </si>
  <si>
    <t xml:space="preserve">=ISEVEN(A2)</t>
  </si>
  <si>
    <t xml:space="preserve">=ISODD(2)</t>
  </si>
  <si>
    <t xml:space="preserve">=ISODD(3)</t>
  </si>
  <si>
    <t xml:space="preserve">=ISODD(-3.5)</t>
  </si>
  <si>
    <t xml:space="preserve">=ISODD("a")</t>
  </si>
  <si>
    <t xml:space="preserve">=ISODD(A1)</t>
  </si>
  <si>
    <t xml:space="preserve">=N(5)</t>
  </si>
  <si>
    <t xml:space="preserve">=N("a")</t>
  </si>
  <si>
    <t xml:space="preserve">=N(TRUE)</t>
  </si>
  <si>
    <t xml:space="preserve">=N(H1)</t>
  </si>
  <si>
    <t xml:space="preserve">=N(B1)</t>
  </si>
  <si>
    <t xml:space="preserve">=N(A3)</t>
  </si>
  <si>
    <t xml:space="preserve">=T("a")</t>
  </si>
  <si>
    <t xml:space="preserve">=T(5)</t>
  </si>
  <si>
    <t xml:space="preserve">=T(B1)</t>
  </si>
  <si>
    <t xml:space="preserve">=T(H2)</t>
  </si>
  <si>
    <t xml:space="preserve">=T(TRUE)</t>
  </si>
  <si>
    <t xml:space="preserve">=TYPE(1)</t>
  </si>
  <si>
    <t xml:space="preserve">=TYPE("a")</t>
  </si>
  <si>
    <t xml:space="preserve">=TYPE(TRUE)</t>
  </si>
  <si>
    <t xml:space="preserve">=TYPE(H1)</t>
  </si>
  <si>
    <t xml:space="preserve">=TYPE({1,2})</t>
  </si>
  <si>
    <t xml:space="preserve">=TYPE(A1:A2)</t>
  </si>
  <si>
    <t xml:space="preserve">=TYPE(A1)</t>
  </si>
  <si>
    <t xml:space="preserve">=TYPE(B1)</t>
  </si>
  <si>
    <t xml:space="preserve">=CELL("row",A5)</t>
  </si>
  <si>
    <t xml:space="preserve">=CELL("col",C1)</t>
  </si>
  <si>
    <t xml:space="preserve">=CELL("address",B2)</t>
  </si>
  <si>
    <t xml:space="preserve">=CELL("contents",A3)</t>
  </si>
  <si>
    <t xml:space="preserve">=CELL("type",B1)</t>
  </si>
  <si>
    <t xml:space="preserve">=CELL("type",A1)</t>
  </si>
  <si>
    <t xml:space="preserve">=CELL("type",J9)</t>
  </si>
  <si>
    <t xml:space="preserve">=ISERR(H1)</t>
  </si>
  <si>
    <t xml:space="preserve">=ISERR(H2)</t>
  </si>
  <si>
    <t xml:space="preserve">=ISERR(1)</t>
  </si>
  <si>
    <t xml:space="preserve">=ISERR(1/0)</t>
  </si>
  <si>
    <t xml:space="preserve">=ISNONTEXT(1)</t>
  </si>
  <si>
    <t xml:space="preserve">=ISNONTEXT("a")</t>
  </si>
  <si>
    <t xml:space="preserve">=ISNONTEXT(J9)</t>
  </si>
  <si>
    <t xml:space="preserve">=ISNONTEXT(H1)</t>
  </si>
  <si>
    <t xml:space="preserve">=ISREF(A1)</t>
  </si>
  <si>
    <t xml:space="preserve">=ISREF(1)</t>
  </si>
  <si>
    <t xml:space="preserve">=ISREF(A1:B2)</t>
  </si>
  <si>
    <t xml:space="preserve">=ISREF(INDEX(A1:A3,2))</t>
  </si>
  <si>
    <t xml:space="preserve">=ISREF("A1")</t>
  </si>
  <si>
    <t xml:space="preserve">=SEARCH("an","banana")</t>
  </si>
  <si>
    <t xml:space="preserve">=SEARCH("AN","banana",3)</t>
  </si>
  <si>
    <t xml:space="preserve">=SEARCH("b?n","banana")</t>
  </si>
  <si>
    <t xml:space="preserve">=SEARCH("z","banana")</t>
  </si>
  <si>
    <t xml:space="preserve">=SEARCH("a*a","banana")</t>
  </si>
  <si>
    <t xml:space="preserve">=SEARCH("~?","what?")</t>
  </si>
  <si>
    <t xml:space="preserve">=REPLACE("abcdef",3,2,"XY")</t>
  </si>
  <si>
    <t xml:space="preserve">=REPLACE("abc",5,1,"Z")</t>
  </si>
  <si>
    <t xml:space="preserve">=REPLACE("abc",1,0,"Z")</t>
  </si>
  <si>
    <t xml:space="preserve">=REPLACE("abc",0,1,"Z")</t>
  </si>
  <si>
    <t xml:space="preserve">=REPLACE(B1,1,1,"A")</t>
  </si>
  <si>
    <t xml:space="preserve">=REPT("ab",3)</t>
  </si>
  <si>
    <t xml:space="preserve">=REPT("x",0)</t>
  </si>
  <si>
    <t xml:space="preserve">=REPT("x",-1)</t>
  </si>
  <si>
    <t xml:space="preserve">=REPT(A1,3)</t>
  </si>
  <si>
    <t xml:space="preserve">=REPT("-",2.9)</t>
  </si>
  <si>
    <t xml:space="preserve">=PROPER("hello world")</t>
  </si>
  <si>
    <t xml:space="preserve">=PROPER("o'neil mc-donald")</t>
  </si>
  <si>
    <t xml:space="preserve">=PROPER("2nd place")</t>
  </si>
  <si>
    <t xml:space="preserve">=PROPER(B1)</t>
  </si>
  <si>
    <t xml:space="preserve">=PROPER("ÀB cD")</t>
  </si>
  <si>
    <t xml:space="preserve">=CHAR(65)</t>
  </si>
  <si>
    <t xml:space="preserve">=CHAR(97)</t>
  </si>
  <si>
    <t xml:space="preserve">=CHAR(0)</t>
  </si>
  <si>
    <t xml:space="preserve">=CHAR(256)</t>
  </si>
  <si>
    <t xml:space="preserve">=CHAR(169)</t>
  </si>
  <si>
    <t xml:space="preserve">=CHAR(233)</t>
  </si>
  <si>
    <t xml:space="preserve">=CODE("A")</t>
  </si>
  <si>
    <t xml:space="preserve">=CODE("apple")</t>
  </si>
  <si>
    <t xml:space="preserve">=CODE("")</t>
  </si>
  <si>
    <t xml:space="preserve">=CODE("é")</t>
  </si>
  <si>
    <t xml:space="preserve">=CODE(B1)</t>
  </si>
  <si>
    <t xml:space="preserve">=UNICODE("A")</t>
  </si>
  <si>
    <t xml:space="preserve">=UNICODE("€")</t>
  </si>
  <si>
    <t xml:space="preserve">=UNICODE("")</t>
  </si>
  <si>
    <t xml:space="preserve">=UNICODE(B2)</t>
  </si>
  <si>
    <t xml:space="preserve">=UNICHAR(65)</t>
  </si>
  <si>
    <t xml:space="preserve">=UNICHAR(8364)</t>
  </si>
  <si>
    <t xml:space="preserve">=UNICHAR(0)</t>
  </si>
  <si>
    <t xml:space="preserve">=UNICHAR(97)</t>
  </si>
  <si>
    <t xml:space="preserve">=CLEAN("a"&amp;CHAR(7)&amp;"b")</t>
  </si>
  <si>
    <t xml:space="preserve">=CLEAN(B1)</t>
  </si>
  <si>
    <t xml:space="preserve">=CLEAN("  x ")</t>
  </si>
  <si>
    <t xml:space="preserve">=CLEAN(A1)</t>
  </si>
  <si>
    <t xml:space="preserve">=NUMBERVALUE("1,234.5")</t>
  </si>
  <si>
    <t xml:space="preserve">=NUMBERVALUE("1.234,5",",",".")</t>
  </si>
  <si>
    <t xml:space="preserve">=NUMBERVALUE("5%")</t>
  </si>
  <si>
    <t xml:space="preserve">=NUMBERVALUE("")</t>
  </si>
  <si>
    <t xml:space="preserve">=NUMBERVALUE("abc")</t>
  </si>
  <si>
    <t xml:space="preserve">=NUMBERVALUE("1%%")</t>
  </si>
  <si>
    <t xml:space="preserve">=NUMBERVALUE("1.5",".",".")</t>
  </si>
  <si>
    <t xml:space="preserve">=NUMBERVALUE(" 12 ")</t>
  </si>
  <si>
    <t xml:space="preserve">=FIXED(1234.567,1)</t>
  </si>
  <si>
    <t xml:space="preserve">=FIXED(1234.567,-1)</t>
  </si>
  <si>
    <t xml:space="preserve">=FIXED(-1234.567,2,TRUE)</t>
  </si>
  <si>
    <t xml:space="preserve">=FIXED(0.5,0)</t>
  </si>
  <si>
    <t xml:space="preserve">=FIXED(1234567)</t>
  </si>
  <si>
    <t xml:space="preserve">=FIXED(A1)</t>
  </si>
  <si>
    <t xml:space="preserve">=TEXTJOIN(",",TRUE,B1:B3)</t>
  </si>
  <si>
    <t xml:space="preserve">=TEXTJOIN("-",FALSE,A1:A3)</t>
  </si>
  <si>
    <t xml:space="preserve">=TEXTJOIN(", ",TRUE,"a","","b")</t>
  </si>
  <si>
    <t xml:space="preserve">=TEXTJOIN(",",FALSE,"a","","b")</t>
  </si>
  <si>
    <t xml:space="preserve">=TEXTJOIN("",TRUE,B1:B2,"!")</t>
  </si>
  <si>
    <t xml:space="preserve">=TEXTJOIN(",",TRUE,H1,"a")</t>
  </si>
  <si>
    <t xml:space="preserve">=DATEVALUE("2024-01-15")</t>
  </si>
  <si>
    <t xml:space="preserve">=DATEVALUE("1/15/2024")</t>
  </si>
  <si>
    <t xml:space="preserve">=DATEVALUE("2024-12-31")</t>
  </si>
  <si>
    <t xml:space="preserve">=DATEVALUE("abc")</t>
  </si>
  <si>
    <t xml:space="preserve">=DATEVALUE(5)</t>
  </si>
  <si>
    <t xml:space="preserve">=TIMEVALUE("12:00")</t>
  </si>
  <si>
    <t xml:space="preserve">=TIMEVALUE("6:00 PM")</t>
  </si>
  <si>
    <t xml:space="preserve">=TIMEVALUE("18:30:30")</t>
  </si>
  <si>
    <t xml:space="preserve">=TIMEVALUE("xx")</t>
  </si>
  <si>
    <t xml:space="preserve">=TIMEVALUE("2024-01-15 06:00")</t>
  </si>
  <si>
    <t xml:space="preserve">=TIME(12,0,0)</t>
  </si>
  <si>
    <t xml:space="preserve">=TIME(25,0,0)</t>
  </si>
  <si>
    <t xml:space="preserve">=TIME(0,90,0)</t>
  </si>
  <si>
    <t xml:space="preserve">=TIME(1,2,3)</t>
  </si>
  <si>
    <t xml:space="preserve">=TIME(-1,0,0)</t>
  </si>
  <si>
    <t xml:space="preserve">=HOUR(E3)</t>
  </si>
  <si>
    <t xml:space="preserve">=HOUR(0.5)</t>
  </si>
  <si>
    <t xml:space="preserve">=HOUR("18:30")</t>
  </si>
  <si>
    <t xml:space="preserve">=HOUR(-1)</t>
  </si>
  <si>
    <t xml:space="preserve">=MINUTE(E3)</t>
  </si>
  <si>
    <t xml:space="preserve">=MINUTE("18:30:45")</t>
  </si>
  <si>
    <t xml:space="preserve">=MINUTE(0.7712)</t>
  </si>
  <si>
    <t xml:space="preserve">=MINUTE(-1)</t>
  </si>
  <si>
    <t xml:space="preserve">=SECOND("18:30:45")</t>
  </si>
  <si>
    <t xml:space="preserve">=SECOND(0.5)</t>
  </si>
  <si>
    <t xml:space="preserve">=SECOND(TIME(1,2,3))</t>
  </si>
  <si>
    <t xml:space="preserve">=SECOND(-1)</t>
  </si>
  <si>
    <t xml:space="preserve">=EDATE(E1,1)</t>
  </si>
  <si>
    <t xml:space="preserve">=EDATE(DATE(2024,1,31),1)</t>
  </si>
  <si>
    <t xml:space="preserve">=EDATE(E1,-1)</t>
  </si>
  <si>
    <t xml:space="preserve">=EDATE(E1,0)</t>
  </si>
  <si>
    <t xml:space="preserve">=EDATE(E1,12)</t>
  </si>
  <si>
    <t xml:space="preserve">=EOMONTH(E1,0)</t>
  </si>
  <si>
    <t xml:space="preserve">=EOMONTH(E1,1)</t>
  </si>
  <si>
    <t xml:space="preserve">=EOMONTH(E1,-1)</t>
  </si>
  <si>
    <t xml:space="preserve">=EOMONTH(E2,2)</t>
  </si>
  <si>
    <t xml:space="preserve">=NETWORKDAYS(DATE(2024,1,1),DATE(2024,1,31))</t>
  </si>
  <si>
    <t xml:space="preserve">=NETWORKDAYS(E1,E2)</t>
  </si>
  <si>
    <t xml:space="preserve">=NETWORKDAYS(DATE(2024,1,1),DATE(2024,1,31),DATE(2024,1,15))</t>
  </si>
  <si>
    <t xml:space="preserve">=NETWORKDAYS(DATE(2024,1,31),DATE(2024,1,1))</t>
  </si>
  <si>
    <t xml:space="preserve">=NETWORKDAYS(E1,E1)</t>
  </si>
  <si>
    <t xml:space="preserve">=NETWORKDAYS.INTL(DATE(2024,1,1),DATE(2024,1,31),11)</t>
  </si>
  <si>
    <t xml:space="preserve">=NETWORKDAYS.INTL(DATE(2024,1,1),DATE(2024,1,31),"0000011")</t>
  </si>
  <si>
    <t xml:space="preserve">=NETWORKDAYS.INTL(DATE(2024,1,1),DATE(2024,1,31),2)</t>
  </si>
  <si>
    <t xml:space="preserve">=NETWORKDAYS.INTL(DATE(2024,1,1),DATE(2024,1,31),1,DATE(2024,1,15))</t>
  </si>
  <si>
    <t xml:space="preserve">=NETWORKDAYS.INTL(DATE(2024,1,1),DATE(2024,1,31),99)</t>
  </si>
  <si>
    <t xml:space="preserve">=WORKDAY(E1,1)</t>
  </si>
  <si>
    <t xml:space="preserve">=WORKDAY(DATE(2024,1,19),1)</t>
  </si>
  <si>
    <t xml:space="preserve">=WORKDAY(E1,-1)</t>
  </si>
  <si>
    <t xml:space="preserve">=WORKDAY(E1,5,E1+1)</t>
  </si>
  <si>
    <t xml:space="preserve">=WORKDAY(E1,0)</t>
  </si>
  <si>
    <t xml:space="preserve">=WORKDAY.INTL(E1,1,11)</t>
  </si>
  <si>
    <t xml:space="preserve">=WORKDAY.INTL(DATE(2024,1,20),1,11)</t>
  </si>
  <si>
    <t xml:space="preserve">=WORKDAY.INTL(E1,5,"0000011")</t>
  </si>
  <si>
    <t xml:space="preserve">=WORKDAY.INTL(E1,-2,2)</t>
  </si>
  <si>
    <t xml:space="preserve">=DATEDIF(DATE(2020,1,15),E1,"Y")</t>
  </si>
  <si>
    <t xml:space="preserve">=DATEDIF(DATE(2020,1,15),E1,"M")</t>
  </si>
  <si>
    <t xml:space="preserve">=DATEDIF(DATE(2020,1,15),E1,"D")</t>
  </si>
  <si>
    <t xml:space="preserve">=DATEDIF(DATE(2024,1,10),DATE(2024,3,15),"MD")</t>
  </si>
  <si>
    <t xml:space="preserve">=DATEDIF(DATE(2023,6,20),E1,"YM")</t>
  </si>
  <si>
    <t xml:space="preserve">=DATEDIF(DATE(2023,6,20),E1,"YD")</t>
  </si>
  <si>
    <t xml:space="preserve">=DATEDIF(E1,DATE(2020,1,15),"Y")</t>
  </si>
  <si>
    <t xml:space="preserve">=DATEDIF(E1,E2,"X")</t>
  </si>
  <si>
    <t xml:space="preserve">=YEARFRAC(DATE(2024,1,1),DATE(2024,7,1))</t>
  </si>
  <si>
    <t xml:space="preserve">=YEARFRAC(DATE(2023,1,1),DATE(2023,7,1),1)</t>
  </si>
  <si>
    <t xml:space="preserve">=YEARFRAC(DATE(2023,1,1),DATE(2023,7,1),2)</t>
  </si>
  <si>
    <t xml:space="preserve">=YEARFRAC(DATE(2023,1,1),DATE(2023,7,1),3)</t>
  </si>
  <si>
    <t xml:space="preserve">=YEARFRAC(DATE(2023,1,1),DATE(2023,7,1),4)</t>
  </si>
  <si>
    <t xml:space="preserve">=YEARFRAC(E1,E2)</t>
  </si>
  <si>
    <t xml:space="preserve">=YEARFRAC(DATE(2020,1,1),DATE(2024,1,1),1)</t>
  </si>
  <si>
    <t xml:space="preserve">=YEARFRAC(E2,E1)</t>
  </si>
  <si>
    <t xml:space="preserve">=YEARFRAC(E1,E2,5)</t>
  </si>
  <si>
    <t xml:space="preserve">=WEEKNUM(E1)</t>
  </si>
  <si>
    <t xml:space="preserve">=WEEKNUM(E1,2)</t>
  </si>
  <si>
    <t xml:space="preserve">=WEEKNUM(E2)</t>
  </si>
  <si>
    <t xml:space="preserve">=WEEKNUM(E2,21)</t>
  </si>
  <si>
    <t xml:space="preserve">=WEEKNUM(DATE(2024,1,1),21)</t>
  </si>
  <si>
    <t xml:space="preserve">=WEEKNUM(E1,3)</t>
  </si>
  <si>
    <t xml:space="preserve">=ISOWEEKNUM(E1)</t>
  </si>
  <si>
    <t xml:space="preserve">=ISOWEEKNUM(E2)</t>
  </si>
  <si>
    <t xml:space="preserve">=ISOWEEKNUM(DATE(2021,1,3))</t>
  </si>
  <si>
    <t xml:space="preserve">=ISOWEEKNUM(DATE(2020,12,31))</t>
  </si>
  <si>
    <t xml:space="preserve">=ISOWEEKNUM(DATE(2016,1,1))</t>
  </si>
  <si>
    <t xml:space="preserve">=ROWS(A1:A6)</t>
  </si>
  <si>
    <t xml:space="preserve">=ROWS(A1:C3)</t>
  </si>
  <si>
    <t xml:space="preserve">=ROWS(A:A)</t>
  </si>
  <si>
    <t xml:space="preserve">=ROWS({1,2;3,4})</t>
  </si>
  <si>
    <t xml:space="preserve">=COLUMNS(A1:C3)</t>
  </si>
  <si>
    <t xml:space="preserve">=COLUMNS(A:C)</t>
  </si>
  <si>
    <t xml:space="preserve">=COLUMNS(1:1)</t>
  </si>
  <si>
    <t xml:space="preserve">=COLUMNS({1,2;3,4})</t>
  </si>
  <si>
    <t xml:space="preserve">=LOOKUP(3,A1:A6,B1:B6)</t>
  </si>
  <si>
    <t xml:space="preserve">=LOOKUP(3.5,A1:A6,B1:B6)</t>
  </si>
  <si>
    <t xml:space="preserve">=LOOKUP(0,A1:A6,B1:B6)</t>
  </si>
  <si>
    <t xml:space="preserve">=LOOKUP(100,A1:A6,B1:B6)</t>
  </si>
  <si>
    <t xml:space="preserve">=LOOKUP(2,A1:B6)</t>
  </si>
  <si>
    <t xml:space="preserve">=XMATCH(3,A1:A6)</t>
  </si>
  <si>
    <t xml:space="preserve">=XMATCH("cherry",B1:B6)</t>
  </si>
  <si>
    <t xml:space="preserve">=XMATCH(3.5,A1:A6,-1)</t>
  </si>
  <si>
    <t xml:space="preserve">=XMATCH(3.5,A1:A6,1)</t>
  </si>
  <si>
    <t xml:space="preserve">=XMATCH("ch*",B1:B6,2)</t>
  </si>
  <si>
    <t xml:space="preserve">=XMATCH(9,A1:A6)</t>
  </si>
  <si>
    <t xml:space="preserve">=XMATCH(3,A1:A6,0,-1)</t>
  </si>
  <si>
    <t xml:space="preserve">=XMATCH(3,A1:C6)</t>
  </si>
  <si>
    <t xml:space="preserve">=XLOOKUP(3,A1:A6,B1:B6)</t>
  </si>
  <si>
    <t xml:space="preserve">=XLOOKUP(9,A1:A6,B1:B6,"none")</t>
  </si>
  <si>
    <t xml:space="preserve">=XLOOKUP(9,A1:A6,B1:B6)</t>
  </si>
  <si>
    <t xml:space="preserve">=XLOOKUP(3.5,A1:A6,B1:B6,,-1)</t>
  </si>
  <si>
    <t xml:space="preserve">=XLOOKUP("fig",B1:B6,A1:A6)</t>
  </si>
  <si>
    <t xml:space="preserve">=XLOOKUP(4,A1:A6,C1:C6)</t>
  </si>
  <si>
    <t xml:space="preserve">=XLOOKUP(3,A1:A6,B1:B5)</t>
  </si>
  <si>
    <t xml:space="preserve">=SUM(A1:XLOOKUP(3,A1:A6,A1:A6))</t>
  </si>
  <si>
    <t xml:space="preserve">=INDIRECT("A1")</t>
  </si>
  <si>
    <t xml:space="preserve">=INDIRECT("A"&amp;3)</t>
  </si>
  <si>
    <t xml:space="preserve">=SUM(INDIRECT("A1:A3"))</t>
  </si>
  <si>
    <t xml:space="preserve">=INDIRECT("Other!A1")</t>
  </si>
  <si>
    <t xml:space="preserve">=INDIRECT("R2C1",FALSE)</t>
  </si>
  <si>
    <t xml:space="preserve">=INDIRECT("zzz")</t>
  </si>
  <si>
    <t xml:space="preserve">=INDIRECT(B1)</t>
  </si>
  <si>
    <t xml:space="preserve">=OFFSET(A1,2,1)</t>
  </si>
  <si>
    <t xml:space="preserve">=SUM(OFFSET(A1,0,0,3,1))</t>
  </si>
  <si>
    <t xml:space="preserve">=OFFSET(A1,-1,0)</t>
  </si>
  <si>
    <t xml:space="preserve">=SUM(OFFSET(A1:A2,1,0))</t>
  </si>
  <si>
    <t xml:space="preserve">=ROWS(OFFSET(A1,0,0,3,2))</t>
  </si>
  <si>
    <t xml:space="preserve">=OFFSET(A1,0,0,0,1)</t>
  </si>
  <si>
    <t xml:space="preserve">=ADDRESS(1,1)</t>
  </si>
  <si>
    <t xml:space="preserve">=ADDRESS(5,3,4)</t>
  </si>
  <si>
    <t xml:space="preserve">=ADDRESS(2,28,2)</t>
  </si>
  <si>
    <t xml:space="preserve">=ADDRESS(1,1,1,FALSE)</t>
  </si>
  <si>
    <t xml:space="preserve">=ADDRESS(1,1,1,TRUE,"My Sheet")</t>
  </si>
  <si>
    <t xml:space="preserve">=ADDRESS(0,1)</t>
  </si>
  <si>
    <t xml:space="preserve">=ADDRESS(1,1,5)</t>
  </si>
  <si>
    <t xml:space="preserve">=SUM(TRANSPOSE(A1:A3))</t>
  </si>
  <si>
    <t xml:space="preserve">=INDEX(TRANSPOSE(A1:A3),1,2)</t>
  </si>
  <si>
    <t xml:space="preserve">=COLUMNS(TRANSPOSE(A1:A6))</t>
  </si>
  <si>
    <t xml:space="preserve">=ROWS(TRANSPOSE(A1:C1))</t>
  </si>
  <si>
    <t xml:space="preserve">=TRANSPOSE(A1:A3)</t>
  </si>
  <si>
    <t xml:space="preserve">=HYPERLINK("http://x.y","click")</t>
  </si>
  <si>
    <t xml:space="preserve">=HYPERLINK("http://x.y")</t>
  </si>
  <si>
    <t xml:space="preserve">=HYPERLINK(B1,"go")</t>
  </si>
  <si>
    <t xml:space="preserve">=HYPERLINK("u",A2)</t>
  </si>
  <si>
    <t xml:space="preserve">=SUM(SEQUENCE(4))</t>
  </si>
  <si>
    <t xml:space="preserve">=INDEX(SEQUENCE(3,4,10,5),2,3)</t>
  </si>
  <si>
    <t xml:space="preserve">=ROWS(SEQUENCE(5,2))</t>
  </si>
  <si>
    <t xml:space="preserve">=COLUMNS(SEQUENCE(5,2))</t>
  </si>
  <si>
    <t xml:space="preserve">=SUM(SEQUENCE(2,2,0.5,0.25))</t>
  </si>
  <si>
    <t xml:space="preserve">=SEQUENCE(1,1,7)</t>
  </si>
  <si>
    <t xml:space="preserve">=SEQUENCE(0)</t>
  </si>
  <si>
    <t xml:space="preserve">=SEQUENCE(-1)</t>
  </si>
  <si>
    <t xml:space="preserve">=ROWS(RANDARRAY(3,2))</t>
  </si>
  <si>
    <t xml:space="preserve">=COLUMNS(RANDARRAY(3,2))</t>
  </si>
  <si>
    <t xml:space="preserve">=SUM(RANDARRAY(4,4,5,5))</t>
  </si>
  <si>
    <t xml:space="preserve">=RANDARRAY(1,1,2,2,TRUE)</t>
  </si>
  <si>
    <t xml:space="preserve">=MIN(RANDARRAY(10,1,1,3,TRUE))&gt;=1</t>
  </si>
  <si>
    <t xml:space="preserve">=RANDARRAY(2,2,5,1)</t>
  </si>
  <si>
    <t xml:space="preserve">=INDEX(SORT(C1:C6),1)</t>
  </si>
  <si>
    <t xml:space="preserve">=INDEX(SORT(C1:C6,1,-1),1)</t>
  </si>
  <si>
    <t xml:space="preserve">=TEXTJOIN(",",TRUE,SORT(B1:B6,1,-1))</t>
  </si>
  <si>
    <t xml:space="preserve">=INDEX(SORT(A1:C6,3,1),2,2)</t>
  </si>
  <si>
    <t xml:space="preserve">=INDEX(SORT(F1:G4,1,-1),1,2)</t>
  </si>
  <si>
    <t xml:space="preserve">=INDEX(SORT({3,1,2},1,1,TRUE),1,3)</t>
  </si>
  <si>
    <t xml:space="preserve">=SORT(A1:A6,2)</t>
  </si>
  <si>
    <t xml:space="preserve">=SORT(A1:A6,1,0)</t>
  </si>
  <si>
    <t xml:space="preserve">=INDEX(SORTBY(B1:B6,C1:C6),1)</t>
  </si>
  <si>
    <t xml:space="preserve">=INDEX(SORTBY(B1:B6,C1:C6,-1),1)</t>
  </si>
  <si>
    <t xml:space="preserve">=TEXTJOIN(",",TRUE,SORTBY(G1:G4,F1:F4,-1))</t>
  </si>
  <si>
    <t xml:space="preserve">=INDEX(SORTBY(A1:A6,{1;1;2;2;3;3},-1,A1:A6,1),1)</t>
  </si>
  <si>
    <t xml:space="preserve">=SORTBY(A1:A6,A1:A3)</t>
  </si>
  <si>
    <t xml:space="preserve">=SORTBY(A1:A6,A1:A6,2)</t>
  </si>
  <si>
    <t xml:space="preserve">=SUM(FILTER(A1:A6,A1:A6&gt;3))</t>
  </si>
  <si>
    <t xml:space="preserve">=ROWS(FILTER(B1:B6,C1:C6&gt;0))</t>
  </si>
  <si>
    <t xml:space="preserve">=INDEX(FILTER(B1:B6,A1:A6=4),1)</t>
  </si>
  <si>
    <t xml:space="preserve">=TEXTJOIN("-",TRUE,FILTER(F1:F4,G1:G4&lt;&gt;"two hundred"))</t>
  </si>
  <si>
    <t xml:space="preserve">=FILTER(A1:A6,A1:A6&gt;10,"none")</t>
  </si>
  <si>
    <t xml:space="preserve">=FILTER(A1:A6,A1:A6&gt;10)</t>
  </si>
  <si>
    <t xml:space="preserve">=FILTER(A1:A6,A1:A3&gt;1)</t>
  </si>
  <si>
    <t xml:space="preserve">=ROWS(UNIQUE({1;2;2;3;1}))</t>
  </si>
  <si>
    <t xml:space="preserve">=SUM(UNIQUE({1;2;2;3;1}))</t>
  </si>
  <si>
    <t xml:space="preserve">=ROWS(UNIQUE({1;2;2;3;1},FALSE,TRUE))</t>
  </si>
  <si>
    <t xml:space="preserve">=TEXTJOIN(",",TRUE,UNIQUE({"a";"B";"A";"b"}))</t>
  </si>
  <si>
    <t xml:space="preserve">=COLUMNS(UNIQUE({1,1,2},TRUE))</t>
  </si>
  <si>
    <t xml:space="preserve">=ROWS(UNIQUE(A1:A6))</t>
  </si>
  <si>
    <t xml:space="preserve">=UNIQUE({1;1},FALSE,TRUE)</t>
  </si>
  <si>
    <t xml:space="preserve">=SUM(TRANSPOSE(SEQUENCE(3)))</t>
  </si>
  <si>
    <t xml:space="preserve">=INDEX(XLOOKUP(3,A1:A6,B1:C6),1,2)</t>
  </si>
  <si>
    <t xml:space="preserve">remote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</si>
</sst>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mm/dd/yy"/>
    <numFmt numFmtId="167" formatCode="mm/dd/yy\ hh:mm\ AM/PM"/>
    <numFmt numFmtId="168" formatCode="[hh]:mm:ss"/>
    <numFmt numFmtId="169" formatCode="0.00%"/>
    <numFmt numFmtId="170" formatCode="[$$-409]#,##0.00;[RED]\-[$$-409]#,##0.00"/>
    <numFmt numFmtId="171" formatCode="hh:mm:ss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226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1</v>
      </c>
      <c r="B1" s="0" t="s">
        <v>0</v>
      </c>
      <c r="C1" s="0" t="n">
        <v>10.5</v>
      </c>
      <c r="D1" s="1" t="b">
        <f aca="false">TRUE()</f>
        <v>1</v>
      </c>
      <c r="E1" s="2" t="n">
        <v>45306</v>
      </c>
      <c r="F1" s="0" t="n">
        <v>100</v>
      </c>
      <c r="G1" s="0" t="s">
        <v>1</v>
      </c>
      <c r="H1" s="0" t="e">
        <f aca="false">1/0</f>
        <v>#DIV/0!</v>
      </c>
      <c r="K1" s="0" t="s">
        <v>2</v>
      </c>
      <c r="L1" s="0" t="n">
        <f aca="false">SUM(1,2,3)</f>
        <v>6</v>
      </c>
    </row>
    <row r="2" customFormat="false" ht="12.8" hidden="false" customHeight="false" outlineLevel="0" collapsed="false">
      <c r="A2" s="0" t="n">
        <v>2</v>
      </c>
      <c r="B2" s="0" t="s">
        <v>3</v>
      </c>
      <c r="C2" s="0" t="n">
        <v>-2</v>
      </c>
      <c r="D2" s="1" t="b">
        <f aca="false">FALSE()</f>
        <v>0</v>
      </c>
      <c r="E2" s="2" t="n">
        <v>45657</v>
      </c>
      <c r="F2" s="0" t="n">
        <v>200</v>
      </c>
      <c r="G2" s="0" t="s">
        <v>4</v>
      </c>
      <c r="H2" s="0" t="e">
        <f aca="false">NA()</f>
        <v>#N/A</v>
      </c>
      <c r="K2" s="0" t="s">
        <v>5</v>
      </c>
      <c r="L2" s="0" t="n">
        <f aca="false">SUM(A1:A6)</f>
        <v>21</v>
      </c>
    </row>
    <row r="3" customFormat="false" ht="12.8" hidden="false" customHeight="false" outlineLevel="0" collapsed="false">
      <c r="A3" s="0" t="n">
        <v>3</v>
      </c>
      <c r="B3" s="0" t="s">
        <v>6</v>
      </c>
      <c r="C3" s="0" t="n">
        <v>0</v>
      </c>
      <c r="D3" s="0" t="str">
        <f aca="false">""</f>
        <v/>
      </c>
      <c r="E3" s="0" t="n">
        <v>45306.75</v>
      </c>
      <c r="F3" s="0" t="n">
        <v>300</v>
      </c>
      <c r="G3" s="0" t="s">
        <v>7</v>
      </c>
      <c r="K3" s="0" t="s">
        <v>8</v>
      </c>
      <c r="L3" s="0" t="n">
        <f aca="false">SUM(C1:C6)</f>
        <v>1000111.75</v>
      </c>
    </row>
    <row r="4" customFormat="false" ht="12.8" hidden="false" customHeight="false" outlineLevel="0" collapsed="false">
      <c r="A4" s="0" t="n">
        <v>4</v>
      </c>
      <c r="B4" s="0" t="s">
        <v>9</v>
      </c>
      <c r="C4" s="0" t="n">
        <v>100</v>
      </c>
      <c r="E4" s="0" t="n">
        <v>0.5</v>
      </c>
      <c r="F4" s="0" t="n">
        <v>400</v>
      </c>
      <c r="G4" s="0" t="s">
        <v>10</v>
      </c>
      <c r="K4" s="0" t="s">
        <v>11</v>
      </c>
      <c r="L4" s="0" t="n">
        <f aca="false">SUM(D1:D6)</f>
        <v>1</v>
      </c>
    </row>
    <row r="5" customFormat="false" ht="12.8" hidden="false" customHeight="false" outlineLevel="0" collapsed="false">
      <c r="A5" s="0" t="n">
        <v>5</v>
      </c>
      <c r="B5" s="0" t="s">
        <v>12</v>
      </c>
      <c r="C5" s="0" t="n">
        <v>3.25</v>
      </c>
      <c r="D5" s="0" t="s">
        <v>13</v>
      </c>
      <c r="K5" s="0" t="s">
        <v>14</v>
      </c>
      <c r="L5" s="0" t="n">
        <f aca="false">SUM(B1:B3)</f>
        <v>0</v>
      </c>
    </row>
    <row r="6" customFormat="false" ht="12.8" hidden="false" customHeight="false" outlineLevel="0" collapsed="false">
      <c r="A6" s="0" t="n">
        <v>6</v>
      </c>
      <c r="B6" s="0" t="s">
        <v>15</v>
      </c>
      <c r="C6" s="0" t="n">
        <v>1000000</v>
      </c>
      <c r="D6" s="0" t="s">
        <v>16</v>
      </c>
      <c r="K6" s="0" t="s">
        <v>17</v>
      </c>
      <c r="L6" s="0" t="e">
        <f aca="false">SUM("3",4)</f>
        <v>#VALUE!</v>
      </c>
    </row>
    <row r="7" customFormat="false" ht="12.8" hidden="false" customHeight="false" outlineLevel="0" collapsed="false">
      <c r="K7" s="0" t="s">
        <v>18</v>
      </c>
      <c r="L7" s="0" t="n">
        <f aca="false">SUM(TRUE(),1)</f>
        <v>2</v>
      </c>
    </row>
    <row r="8" customFormat="false" ht="12.8" hidden="false" customHeight="false" outlineLevel="0" collapsed="false">
      <c r="K8" s="0" t="s">
        <v>19</v>
      </c>
      <c r="L8" s="0" t="e">
        <f aca="false">SUM(A1:A3,H1)</f>
        <v>#DIV/0!</v>
      </c>
    </row>
    <row r="9" customFormat="false" ht="12.8" hidden="false" customHeight="false" outlineLevel="0" collapsed="false">
      <c r="K9" s="0" t="s">
        <v>20</v>
      </c>
      <c r="L9" s="0" t="e">
        <f aca="false">SUM(H1:H2)</f>
        <v>#DIV/0!</v>
      </c>
    </row>
    <row r="10" customFormat="false" ht="12.8" hidden="false" customHeight="false" outlineLevel="0" collapsed="false">
      <c r="K10" s="0" t="s">
        <v>21</v>
      </c>
      <c r="L10" s="0" t="n">
        <f aca="false">SUM(A1:A2,D4)</f>
        <v>3</v>
      </c>
    </row>
    <row r="11" customFormat="false" ht="12.8" hidden="false" customHeight="false" outlineLevel="0" collapsed="false">
      <c r="K11" s="0" t="s">
        <v>22</v>
      </c>
      <c r="L11" s="0" t="n">
        <f aca="false">AVERAGE(A1:A6)</f>
        <v>3.5</v>
      </c>
    </row>
    <row r="12" customFormat="false" ht="12.8" hidden="false" customHeight="false" outlineLevel="0" collapsed="false">
      <c r="K12" s="0" t="s">
        <v>23</v>
      </c>
      <c r="L12" s="0" t="n">
        <f aca="false">AVERAGE(C1:C4)</f>
        <v>27.125</v>
      </c>
    </row>
    <row r="13" customFormat="false" ht="12.8" hidden="false" customHeight="false" outlineLevel="0" collapsed="false">
      <c r="K13" s="0" t="s">
        <v>24</v>
      </c>
      <c r="L13" s="0" t="e">
        <f aca="false">AVERAGE(B1:B3)</f>
        <v>#DIV/0!</v>
      </c>
    </row>
    <row r="14" customFormat="false" ht="12.8" hidden="false" customHeight="false" outlineLevel="0" collapsed="false">
      <c r="K14" s="0" t="s">
        <v>25</v>
      </c>
      <c r="L14" s="0" t="e">
        <f aca="false">AVERAGE(A1,H1)</f>
        <v>#DIV/0!</v>
      </c>
    </row>
    <row r="15" customFormat="false" ht="12.8" hidden="false" customHeight="false" outlineLevel="0" collapsed="false">
      <c r="K15" s="0" t="s">
        <v>26</v>
      </c>
      <c r="L15" s="0" t="n">
        <f aca="false">AVERAGE(D1:D6)</f>
        <v>0.5</v>
      </c>
    </row>
    <row r="16" customFormat="false" ht="12.8" hidden="false" customHeight="false" outlineLevel="0" collapsed="false">
      <c r="K16" s="0" t="s">
        <v>27</v>
      </c>
      <c r="L16" s="0" t="e">
        <f aca="false">AVERAGE(1,"3")</f>
        <v>#VALUE!</v>
      </c>
    </row>
    <row r="17" customFormat="false" ht="12.8" hidden="false" customHeight="false" outlineLevel="0" collapsed="false">
      <c r="K17" s="0" t="s">
        <v>28</v>
      </c>
      <c r="L17" s="0" t="n">
        <f aca="false">AVERAGE(A1:A2,D4)</f>
        <v>1.5</v>
      </c>
    </row>
    <row r="18" customFormat="false" ht="12.8" hidden="false" customHeight="false" outlineLevel="0" collapsed="false">
      <c r="K18" s="0" t="s">
        <v>29</v>
      </c>
      <c r="L18" s="0" t="n">
        <f aca="false">AVERAGE(0,0)</f>
        <v>0</v>
      </c>
    </row>
    <row r="19" customFormat="false" ht="12.8" hidden="false" customHeight="false" outlineLevel="0" collapsed="false">
      <c r="K19" s="0" t="s">
        <v>30</v>
      </c>
      <c r="L19" s="0" t="n">
        <f aca="false">MIN(C1:C6)</f>
        <v>-2</v>
      </c>
    </row>
    <row r="20" customFormat="false" ht="12.8" hidden="false" customHeight="false" outlineLevel="0" collapsed="false">
      <c r="K20" s="0" t="s">
        <v>31</v>
      </c>
      <c r="L20" s="0" t="n">
        <f aca="false">MIN(1,2,-3)</f>
        <v>-3</v>
      </c>
    </row>
    <row r="21" customFormat="false" ht="12.8" hidden="false" customHeight="false" outlineLevel="0" collapsed="false">
      <c r="K21" s="0" t="s">
        <v>32</v>
      </c>
      <c r="L21" s="0" t="n">
        <f aca="false">MIN(B1:B3)</f>
        <v>0</v>
      </c>
    </row>
    <row r="22" customFormat="false" ht="12.8" hidden="false" customHeight="false" outlineLevel="0" collapsed="false">
      <c r="K22" s="0" t="s">
        <v>33</v>
      </c>
      <c r="L22" s="0" t="e">
        <f aca="false">MIN(A1:A3,H1)</f>
        <v>#DIV/0!</v>
      </c>
    </row>
    <row r="23" customFormat="false" ht="12.8" hidden="false" customHeight="false" outlineLevel="0" collapsed="false">
      <c r="K23" s="0" t="s">
        <v>34</v>
      </c>
      <c r="L23" s="1" t="b">
        <f aca="false">MIN(D1:D2)</f>
        <v>0</v>
      </c>
    </row>
    <row r="24" customFormat="false" ht="12.8" hidden="false" customHeight="false" outlineLevel="0" collapsed="false">
      <c r="K24" s="0" t="s">
        <v>35</v>
      </c>
      <c r="L24" s="0" t="n">
        <f aca="false">MIN(TRUE(),5)</f>
        <v>1</v>
      </c>
    </row>
    <row r="25" customFormat="false" ht="12.8" hidden="false" customHeight="false" outlineLevel="0" collapsed="false">
      <c r="K25" s="0" t="s">
        <v>36</v>
      </c>
      <c r="L25" s="0" t="n">
        <f aca="false">MIN(C1:C3,D4)</f>
        <v>-2</v>
      </c>
    </row>
    <row r="26" customFormat="false" ht="12.8" hidden="false" customHeight="false" outlineLevel="0" collapsed="false">
      <c r="K26" s="0" t="s">
        <v>37</v>
      </c>
      <c r="L26" s="0" t="n">
        <f aca="false">MAX(C1:C6)</f>
        <v>1000000</v>
      </c>
    </row>
    <row r="27" customFormat="false" ht="12.8" hidden="false" customHeight="false" outlineLevel="0" collapsed="false">
      <c r="K27" s="0" t="s">
        <v>38</v>
      </c>
      <c r="L27" s="0" t="n">
        <f aca="false">MAX(-5,-2)</f>
        <v>-2</v>
      </c>
    </row>
    <row r="28" customFormat="false" ht="12.8" hidden="false" customHeight="false" outlineLevel="0" collapsed="false">
      <c r="K28" s="0" t="s">
        <v>39</v>
      </c>
      <c r="L28" s="0" t="n">
        <f aca="false">MAX(B1:B3)</f>
        <v>0</v>
      </c>
    </row>
    <row r="29" customFormat="false" ht="12.8" hidden="false" customHeight="false" outlineLevel="0" collapsed="false">
      <c r="K29" s="0" t="s">
        <v>40</v>
      </c>
      <c r="L29" s="0" t="e">
        <f aca="false">MAX(H2,1)</f>
        <v>#N/A</v>
      </c>
    </row>
    <row r="30" customFormat="false" ht="12.8" hidden="false" customHeight="false" outlineLevel="0" collapsed="false">
      <c r="K30" s="0" t="s">
        <v>41</v>
      </c>
      <c r="L30" s="0" t="n">
        <f aca="false">MAX(D4,-1)</f>
        <v>-1</v>
      </c>
    </row>
    <row r="31" customFormat="false" ht="12.8" hidden="false" customHeight="false" outlineLevel="0" collapsed="false">
      <c r="K31" s="0" t="s">
        <v>42</v>
      </c>
      <c r="L31" s="0" t="e">
        <f aca="false">MAX(A1:A6,"x")</f>
        <v>#VALUE!</v>
      </c>
    </row>
    <row r="32" customFormat="false" ht="12.8" hidden="false" customHeight="false" outlineLevel="0" collapsed="false">
      <c r="K32" s="0" t="s">
        <v>43</v>
      </c>
      <c r="L32" s="0" t="n">
        <f aca="false">MAX(-3,D4)</f>
        <v>-3</v>
      </c>
    </row>
    <row r="33" customFormat="false" ht="12.8" hidden="false" customHeight="false" outlineLevel="0" collapsed="false">
      <c r="K33" s="0" t="s">
        <v>44</v>
      </c>
      <c r="L33" s="0" t="n">
        <f aca="false">COUNT(A1:A6)</f>
        <v>6</v>
      </c>
    </row>
    <row r="34" customFormat="false" ht="12.8" hidden="false" customHeight="false" outlineLevel="0" collapsed="false">
      <c r="K34" s="0" t="s">
        <v>45</v>
      </c>
      <c r="L34" s="0" t="n">
        <f aca="false">COUNT(A1:D6)</f>
        <v>14</v>
      </c>
    </row>
    <row r="35" customFormat="false" ht="12.8" hidden="false" customHeight="false" outlineLevel="0" collapsed="false">
      <c r="K35" s="0" t="s">
        <v>46</v>
      </c>
      <c r="L35" s="0" t="n">
        <f aca="false">COUNT(1,"a",TRUE())</f>
        <v>2</v>
      </c>
    </row>
    <row r="36" customFormat="false" ht="12.8" hidden="false" customHeight="false" outlineLevel="0" collapsed="false">
      <c r="K36" s="0" t="s">
        <v>47</v>
      </c>
      <c r="L36" s="0" t="n">
        <f aca="false">COUNT(B1:B6)</f>
        <v>0</v>
      </c>
    </row>
    <row r="37" customFormat="false" ht="12.8" hidden="false" customHeight="false" outlineLevel="0" collapsed="false">
      <c r="K37" s="0" t="s">
        <v>48</v>
      </c>
      <c r="L37" s="0" t="n">
        <f aca="false">COUNT(H1:H2)</f>
        <v>0</v>
      </c>
    </row>
    <row r="38" customFormat="false" ht="12.8" hidden="false" customHeight="false" outlineLevel="0" collapsed="false">
      <c r="K38" s="0" t="s">
        <v>49</v>
      </c>
      <c r="L38" s="0" t="n">
        <f aca="false">COUNT(D1:D6)</f>
        <v>2</v>
      </c>
    </row>
    <row r="39" customFormat="false" ht="12.8" hidden="false" customHeight="false" outlineLevel="0" collapsed="false">
      <c r="K39" s="0" t="s">
        <v>50</v>
      </c>
      <c r="L39" s="0" t="n">
        <f aca="false">COUNT(E1:E4)</f>
        <v>4</v>
      </c>
    </row>
    <row r="40" customFormat="false" ht="12.8" hidden="false" customHeight="false" outlineLevel="0" collapsed="false">
      <c r="K40" s="0" t="s">
        <v>51</v>
      </c>
      <c r="L40" s="0" t="n">
        <f aca="false">COUNT("5")</f>
        <v>1</v>
      </c>
    </row>
    <row r="41" customFormat="false" ht="12.8" hidden="false" customHeight="false" outlineLevel="0" collapsed="false">
      <c r="K41" s="0" t="s">
        <v>52</v>
      </c>
      <c r="L41" s="0" t="n">
        <f aca="false">COUNT(A1,H1)</f>
        <v>1</v>
      </c>
    </row>
    <row r="42" customFormat="false" ht="12.8" hidden="false" customHeight="false" outlineLevel="0" collapsed="false">
      <c r="K42" s="0" t="s">
        <v>53</v>
      </c>
      <c r="L42" s="0" t="n">
        <f aca="false">COUNTA(A1:D6)</f>
        <v>23</v>
      </c>
    </row>
    <row r="43" customFormat="false" ht="12.8" hidden="false" customHeight="false" outlineLevel="0" collapsed="false">
      <c r="K43" s="0" t="s">
        <v>54</v>
      </c>
      <c r="L43" s="0" t="n">
        <f aca="false">COUNTA(D1:D6)</f>
        <v>5</v>
      </c>
    </row>
    <row r="44" customFormat="false" ht="12.8" hidden="false" customHeight="false" outlineLevel="0" collapsed="false">
      <c r="K44" s="0" t="s">
        <v>55</v>
      </c>
      <c r="L44" s="0" t="n">
        <f aca="false">COUNTA(H1:H2)</f>
        <v>2</v>
      </c>
    </row>
    <row r="45" customFormat="false" ht="12.8" hidden="false" customHeight="false" outlineLevel="0" collapsed="false">
      <c r="K45" s="0" t="s">
        <v>56</v>
      </c>
      <c r="L45" s="0" t="n">
        <f aca="false">COUNTA(D4)</f>
        <v>0</v>
      </c>
    </row>
    <row r="46" customFormat="false" ht="12.8" hidden="false" customHeight="false" outlineLevel="0" collapsed="false">
      <c r="K46" s="0" t="s">
        <v>57</v>
      </c>
      <c r="L46" s="0" t="n">
        <f aca="false">COUNTA(D3)</f>
        <v>1</v>
      </c>
    </row>
    <row r="47" customFormat="false" ht="12.8" hidden="false" customHeight="false" outlineLevel="0" collapsed="false">
      <c r="K47" s="0" t="s">
        <v>58</v>
      </c>
      <c r="L47" s="0" t="n">
        <f aca="false">COUNTA(1,"",TRUE())</f>
        <v>3</v>
      </c>
    </row>
    <row r="48" customFormat="false" ht="12.8" hidden="false" customHeight="false" outlineLevel="0" collapsed="false">
      <c r="K48" s="0" t="s">
        <v>59</v>
      </c>
      <c r="L48" s="0" t="n">
        <f aca="false">ROUND(2.5,0)</f>
        <v>3</v>
      </c>
    </row>
    <row r="49" customFormat="false" ht="12.8" hidden="false" customHeight="false" outlineLevel="0" collapsed="false">
      <c r="K49" s="0" t="s">
        <v>60</v>
      </c>
      <c r="L49" s="0" t="n">
        <f aca="false">ROUND(-2.5,0)</f>
        <v>-3</v>
      </c>
    </row>
    <row r="50" customFormat="false" ht="12.8" hidden="false" customHeight="false" outlineLevel="0" collapsed="false">
      <c r="K50" s="0" t="s">
        <v>61</v>
      </c>
      <c r="L50" s="0" t="n">
        <f aca="false">ROUND(1234.5678,2)</f>
        <v>1234.57</v>
      </c>
    </row>
    <row r="51" customFormat="false" ht="12.8" hidden="false" customHeight="false" outlineLevel="0" collapsed="false">
      <c r="K51" s="0" t="s">
        <v>62</v>
      </c>
      <c r="L51" s="0" t="n">
        <f aca="false">ROUND(1234.5678,-2)</f>
        <v>1200</v>
      </c>
    </row>
    <row r="52" customFormat="false" ht="12.8" hidden="false" customHeight="false" outlineLevel="0" collapsed="false">
      <c r="K52" s="0" t="s">
        <v>63</v>
      </c>
      <c r="L52" s="0" t="n">
        <f aca="false">ROUND(C1,0)</f>
        <v>11</v>
      </c>
    </row>
    <row r="53" customFormat="false" ht="12.8" hidden="false" customHeight="false" outlineLevel="0" collapsed="false">
      <c r="K53" s="0" t="s">
        <v>64</v>
      </c>
      <c r="L53" s="0" t="e">
        <f aca="false">ROUND(H1,0)</f>
        <v>#DIV/0!</v>
      </c>
    </row>
    <row r="54" customFormat="false" ht="12.8" hidden="false" customHeight="false" outlineLevel="0" collapsed="false">
      <c r="K54" s="0" t="s">
        <v>65</v>
      </c>
      <c r="L54" s="0" t="n">
        <f aca="false">ROUND("3.7",0)</f>
        <v>4</v>
      </c>
    </row>
    <row r="55" customFormat="false" ht="12.8" hidden="false" customHeight="false" outlineLevel="0" collapsed="false">
      <c r="K55" s="0" t="s">
        <v>66</v>
      </c>
      <c r="L55" s="0" t="n">
        <f aca="false">ROUND(D4,2)</f>
        <v>0</v>
      </c>
    </row>
    <row r="56" customFormat="false" ht="12.8" hidden="false" customHeight="false" outlineLevel="0" collapsed="false">
      <c r="K56" s="0" t="s">
        <v>67</v>
      </c>
      <c r="L56" s="0" t="n">
        <f aca="false">ROUND(C5,1)</f>
        <v>3.3</v>
      </c>
    </row>
    <row r="57" customFormat="false" ht="12.8" hidden="false" customHeight="false" outlineLevel="0" collapsed="false">
      <c r="K57" s="0" t="s">
        <v>68</v>
      </c>
      <c r="L57" s="0" t="n">
        <f aca="false">ROUND(2.675,2)</f>
        <v>2.68</v>
      </c>
    </row>
    <row r="58" customFormat="false" ht="12.8" hidden="false" customHeight="false" outlineLevel="0" collapsed="false">
      <c r="K58" s="0" t="s">
        <v>69</v>
      </c>
      <c r="L58" s="0" t="e">
        <f aca="false">ROUND(B1,0)</f>
        <v>#VALUE!</v>
      </c>
    </row>
    <row r="59" customFormat="false" ht="12.8" hidden="false" customHeight="false" outlineLevel="0" collapsed="false">
      <c r="K59" s="0" t="s">
        <v>70</v>
      </c>
      <c r="L59" s="0" t="n">
        <f aca="false">ROUNDUP(2.1,0)</f>
        <v>3</v>
      </c>
    </row>
    <row r="60" customFormat="false" ht="12.8" hidden="false" customHeight="false" outlineLevel="0" collapsed="false">
      <c r="K60" s="0" t="s">
        <v>71</v>
      </c>
      <c r="L60" s="0" t="n">
        <f aca="false">ROUNDUP(-2.1,0)</f>
        <v>-3</v>
      </c>
    </row>
    <row r="61" customFormat="false" ht="12.8" hidden="false" customHeight="false" outlineLevel="0" collapsed="false">
      <c r="K61" s="0" t="s">
        <v>72</v>
      </c>
      <c r="L61" s="0" t="n">
        <f aca="false">ROUNDUP(3.14159,3)</f>
        <v>3.142</v>
      </c>
    </row>
    <row r="62" customFormat="false" ht="12.8" hidden="false" customHeight="false" outlineLevel="0" collapsed="false">
      <c r="K62" s="0" t="s">
        <v>73</v>
      </c>
      <c r="L62" s="0" t="n">
        <f aca="false">ROUNDUP(C1,0)</f>
        <v>11</v>
      </c>
    </row>
    <row r="63" customFormat="false" ht="12.8" hidden="false" customHeight="false" outlineLevel="0" collapsed="false">
      <c r="K63" s="0" t="s">
        <v>74</v>
      </c>
      <c r="L63" s="0" t="n">
        <f aca="false">ROUNDUP(0,0)</f>
        <v>0</v>
      </c>
    </row>
    <row r="64" customFormat="false" ht="12.8" hidden="false" customHeight="false" outlineLevel="0" collapsed="false">
      <c r="K64" s="0" t="s">
        <v>75</v>
      </c>
      <c r="L64" s="0" t="e">
        <f aca="false">ROUNDUP(H1,1)</f>
        <v>#DIV/0!</v>
      </c>
    </row>
    <row r="65" customFormat="false" ht="12.8" hidden="false" customHeight="false" outlineLevel="0" collapsed="false">
      <c r="K65" s="0" t="s">
        <v>76</v>
      </c>
      <c r="L65" s="0" t="n">
        <f aca="false">ROUNDUP(1234,-2)</f>
        <v>1300</v>
      </c>
    </row>
    <row r="66" customFormat="false" ht="12.8" hidden="false" customHeight="false" outlineLevel="0" collapsed="false">
      <c r="K66" s="0" t="s">
        <v>77</v>
      </c>
      <c r="L66" s="0" t="n">
        <f aca="false">ROUNDUP(A1,0)</f>
        <v>1</v>
      </c>
    </row>
    <row r="67" customFormat="false" ht="12.8" hidden="false" customHeight="false" outlineLevel="0" collapsed="false">
      <c r="K67" s="0" t="s">
        <v>78</v>
      </c>
      <c r="L67" s="0" t="n">
        <f aca="false">ROUNDDOWN(2.9,0)</f>
        <v>2</v>
      </c>
    </row>
    <row r="68" customFormat="false" ht="12.8" hidden="false" customHeight="false" outlineLevel="0" collapsed="false">
      <c r="K68" s="0" t="s">
        <v>79</v>
      </c>
      <c r="L68" s="0" t="n">
        <f aca="false">ROUNDDOWN(-2.9,0)</f>
        <v>-2</v>
      </c>
    </row>
    <row r="69" customFormat="false" ht="12.8" hidden="false" customHeight="false" outlineLevel="0" collapsed="false">
      <c r="K69" s="0" t="s">
        <v>80</v>
      </c>
      <c r="L69" s="0" t="n">
        <f aca="false">ROUNDDOWN(3.14159,3)</f>
        <v>3.141</v>
      </c>
    </row>
    <row r="70" customFormat="false" ht="12.8" hidden="false" customHeight="false" outlineLevel="0" collapsed="false">
      <c r="K70" s="0" t="s">
        <v>81</v>
      </c>
      <c r="L70" s="0" t="n">
        <f aca="false">ROUNDDOWN(C5,1)</f>
        <v>3.2</v>
      </c>
    </row>
    <row r="71" customFormat="false" ht="12.8" hidden="false" customHeight="false" outlineLevel="0" collapsed="false">
      <c r="K71" s="0" t="s">
        <v>82</v>
      </c>
      <c r="L71" s="0" t="n">
        <f aca="false">ROUNDDOWN(1999,-3)</f>
        <v>1000</v>
      </c>
    </row>
    <row r="72" customFormat="false" ht="12.8" hidden="false" customHeight="false" outlineLevel="0" collapsed="false">
      <c r="K72" s="0" t="s">
        <v>83</v>
      </c>
      <c r="L72" s="0" t="e">
        <f aca="false">ROUNDDOWN(H1,0)</f>
        <v>#DIV/0!</v>
      </c>
    </row>
    <row r="73" customFormat="false" ht="12.8" hidden="false" customHeight="false" outlineLevel="0" collapsed="false">
      <c r="K73" s="0" t="s">
        <v>84</v>
      </c>
      <c r="L73" s="0" t="n">
        <f aca="false">ROUNDDOWN(D4,0)</f>
        <v>0</v>
      </c>
    </row>
    <row r="74" customFormat="false" ht="12.8" hidden="false" customHeight="false" outlineLevel="0" collapsed="false">
      <c r="K74" s="0" t="s">
        <v>85</v>
      </c>
      <c r="L74" s="0" t="n">
        <f aca="false">INT(2.7)</f>
        <v>2</v>
      </c>
    </row>
    <row r="75" customFormat="false" ht="12.8" hidden="false" customHeight="false" outlineLevel="0" collapsed="false">
      <c r="K75" s="0" t="s">
        <v>86</v>
      </c>
      <c r="L75" s="0" t="n">
        <f aca="false">INT(-2.1)</f>
        <v>-3</v>
      </c>
    </row>
    <row r="76" customFormat="false" ht="12.8" hidden="false" customHeight="false" outlineLevel="0" collapsed="false">
      <c r="K76" s="0" t="s">
        <v>87</v>
      </c>
      <c r="L76" s="0" t="n">
        <f aca="false">INT(C1)</f>
        <v>10</v>
      </c>
    </row>
    <row r="77" customFormat="false" ht="12.8" hidden="false" customHeight="false" outlineLevel="0" collapsed="false">
      <c r="K77" s="0" t="s">
        <v>88</v>
      </c>
      <c r="L77" s="0" t="n">
        <f aca="false">INT(C2)</f>
        <v>-2</v>
      </c>
    </row>
    <row r="78" customFormat="false" ht="12.8" hidden="false" customHeight="false" outlineLevel="0" collapsed="false">
      <c r="K78" s="0" t="s">
        <v>89</v>
      </c>
      <c r="L78" s="0" t="n">
        <f aca="false">INT(E3)</f>
        <v>45306</v>
      </c>
    </row>
    <row r="79" customFormat="false" ht="12.8" hidden="false" customHeight="false" outlineLevel="0" collapsed="false">
      <c r="K79" s="0" t="s">
        <v>90</v>
      </c>
      <c r="L79" s="0" t="n">
        <f aca="false">INT("7.9")</f>
        <v>7</v>
      </c>
    </row>
    <row r="80" customFormat="false" ht="12.8" hidden="false" customHeight="false" outlineLevel="0" collapsed="false">
      <c r="K80" s="0" t="s">
        <v>91</v>
      </c>
      <c r="L80" s="0" t="e">
        <f aca="false">INT(H1)</f>
        <v>#DIV/0!</v>
      </c>
    </row>
    <row r="81" customFormat="false" ht="12.8" hidden="false" customHeight="false" outlineLevel="0" collapsed="false">
      <c r="K81" s="0" t="s">
        <v>92</v>
      </c>
      <c r="L81" s="0" t="n">
        <f aca="false">INT(D4)</f>
        <v>0</v>
      </c>
    </row>
    <row r="82" customFormat="false" ht="12.8" hidden="false" customHeight="false" outlineLevel="0" collapsed="false">
      <c r="K82" s="0" t="s">
        <v>93</v>
      </c>
      <c r="L82" s="0" t="n">
        <f aca="false">INT(TRUE())</f>
        <v>1</v>
      </c>
    </row>
    <row r="83" customFormat="false" ht="12.8" hidden="false" customHeight="false" outlineLevel="0" collapsed="false">
      <c r="K83" s="0" t="s">
        <v>94</v>
      </c>
      <c r="L83" s="0" t="e">
        <f aca="false">INT(B1)</f>
        <v>#VALUE!</v>
      </c>
    </row>
    <row r="84" customFormat="false" ht="12.8" hidden="false" customHeight="false" outlineLevel="0" collapsed="false">
      <c r="K84" s="0" t="s">
        <v>95</v>
      </c>
      <c r="L84" s="0" t="n">
        <f aca="false">MOD(10,3)</f>
        <v>1</v>
      </c>
    </row>
    <row r="85" customFormat="false" ht="12.8" hidden="false" customHeight="false" outlineLevel="0" collapsed="false">
      <c r="K85" s="0" t="s">
        <v>96</v>
      </c>
      <c r="L85" s="0" t="n">
        <f aca="false">MOD(-10,3)</f>
        <v>2</v>
      </c>
    </row>
    <row r="86" customFormat="false" ht="12.8" hidden="false" customHeight="false" outlineLevel="0" collapsed="false">
      <c r="K86" s="0" t="s">
        <v>97</v>
      </c>
      <c r="L86" s="0" t="n">
        <f aca="false">MOD(10,-3)</f>
        <v>-2</v>
      </c>
    </row>
    <row r="87" customFormat="false" ht="12.8" hidden="false" customHeight="false" outlineLevel="0" collapsed="false">
      <c r="K87" s="0" t="s">
        <v>98</v>
      </c>
      <c r="L87" s="0" t="e">
        <f aca="false">MOD(5,0)</f>
        <v>#DIV/0!</v>
      </c>
    </row>
    <row r="88" customFormat="false" ht="12.8" hidden="false" customHeight="false" outlineLevel="0" collapsed="false">
      <c r="K88" s="0" t="s">
        <v>99</v>
      </c>
      <c r="L88" s="0" t="n">
        <f aca="false">MOD(A6,A3)</f>
        <v>0</v>
      </c>
    </row>
    <row r="89" customFormat="false" ht="12.8" hidden="false" customHeight="false" outlineLevel="0" collapsed="false">
      <c r="K89" s="0" t="s">
        <v>100</v>
      </c>
      <c r="L89" s="0" t="n">
        <f aca="false">MOD(C1,3)</f>
        <v>1.5</v>
      </c>
    </row>
    <row r="90" customFormat="false" ht="12.8" hidden="false" customHeight="false" outlineLevel="0" collapsed="false">
      <c r="K90" s="0" t="s">
        <v>101</v>
      </c>
      <c r="L90" s="0" t="e">
        <f aca="false">MOD(H1,2)</f>
        <v>#DIV/0!</v>
      </c>
    </row>
    <row r="91" customFormat="false" ht="12.8" hidden="false" customHeight="false" outlineLevel="0" collapsed="false">
      <c r="K91" s="0" t="s">
        <v>102</v>
      </c>
      <c r="L91" s="0" t="n">
        <f aca="false">MOD(3.5,1)</f>
        <v>0.5</v>
      </c>
    </row>
    <row r="92" customFormat="false" ht="12.8" hidden="false" customHeight="false" outlineLevel="0" collapsed="false">
      <c r="K92" s="0" t="s">
        <v>103</v>
      </c>
      <c r="L92" s="0" t="n">
        <f aca="false">MOD(0,5)</f>
        <v>0</v>
      </c>
    </row>
    <row r="93" customFormat="false" ht="12.8" hidden="false" customHeight="false" outlineLevel="0" collapsed="false">
      <c r="K93" s="0" t="s">
        <v>104</v>
      </c>
      <c r="L93" s="0" t="n">
        <f aca="false">MOD(D4,3)</f>
        <v>0</v>
      </c>
    </row>
    <row r="94" customFormat="false" ht="12.8" hidden="false" customHeight="false" outlineLevel="0" collapsed="false">
      <c r="K94" s="0" t="s">
        <v>105</v>
      </c>
      <c r="L94" s="0" t="n">
        <f aca="false">ABS(-5)</f>
        <v>5</v>
      </c>
    </row>
    <row r="95" customFormat="false" ht="12.8" hidden="false" customHeight="false" outlineLevel="0" collapsed="false">
      <c r="K95" s="0" t="s">
        <v>106</v>
      </c>
      <c r="L95" s="0" t="n">
        <f aca="false">ABS(C2)</f>
        <v>2</v>
      </c>
    </row>
    <row r="96" customFormat="false" ht="12.8" hidden="false" customHeight="false" outlineLevel="0" collapsed="false">
      <c r="K96" s="0" t="s">
        <v>107</v>
      </c>
      <c r="L96" s="0" t="n">
        <f aca="false">ABS(0)</f>
        <v>0</v>
      </c>
    </row>
    <row r="97" customFormat="false" ht="12.8" hidden="false" customHeight="false" outlineLevel="0" collapsed="false">
      <c r="K97" s="0" t="s">
        <v>108</v>
      </c>
      <c r="L97" s="0" t="n">
        <f aca="false">ABS(D4)</f>
        <v>0</v>
      </c>
    </row>
    <row r="98" customFormat="false" ht="12.8" hidden="false" customHeight="false" outlineLevel="0" collapsed="false">
      <c r="K98" s="0" t="s">
        <v>109</v>
      </c>
      <c r="L98" s="0" t="e">
        <f aca="false">ABS(H1)</f>
        <v>#DIV/0!</v>
      </c>
    </row>
    <row r="99" customFormat="false" ht="12.8" hidden="false" customHeight="false" outlineLevel="0" collapsed="false">
      <c r="K99" s="0" t="s">
        <v>110</v>
      </c>
      <c r="L99" s="0" t="n">
        <f aca="false">ABS("-3")</f>
        <v>3</v>
      </c>
    </row>
    <row r="100" customFormat="false" ht="12.8" hidden="false" customHeight="false" outlineLevel="0" collapsed="false">
      <c r="K100" s="0" t="s">
        <v>111</v>
      </c>
      <c r="L100" s="0" t="e">
        <f aca="false">ABS(B1)</f>
        <v>#VALUE!</v>
      </c>
    </row>
    <row r="101" customFormat="false" ht="12.8" hidden="false" customHeight="false" outlineLevel="0" collapsed="false">
      <c r="K101" s="0" t="s">
        <v>112</v>
      </c>
      <c r="L101" s="0" t="n">
        <f aca="false">ABS(-0.5)</f>
        <v>0.5</v>
      </c>
    </row>
    <row r="102" customFormat="false" ht="12.8" hidden="false" customHeight="false" outlineLevel="0" collapsed="false">
      <c r="K102" s="0" t="s">
        <v>113</v>
      </c>
      <c r="L102" s="0" t="n">
        <f aca="false">ABS(TRUE())</f>
        <v>1</v>
      </c>
    </row>
    <row r="103" customFormat="false" ht="12.8" hidden="false" customHeight="false" outlineLevel="0" collapsed="false">
      <c r="K103" s="0" t="s">
        <v>114</v>
      </c>
      <c r="L103" s="0" t="n">
        <f aca="false">SQRT(16)</f>
        <v>4</v>
      </c>
    </row>
    <row r="104" customFormat="false" ht="12.8" hidden="false" customHeight="false" outlineLevel="0" collapsed="false">
      <c r="K104" s="0" t="s">
        <v>115</v>
      </c>
      <c r="L104" s="0" t="n">
        <f aca="false">SQRT(2)</f>
        <v>1.4142135623731</v>
      </c>
    </row>
    <row r="105" customFormat="false" ht="12.8" hidden="false" customHeight="false" outlineLevel="0" collapsed="false">
      <c r="K105" s="0" t="s">
        <v>116</v>
      </c>
      <c r="L105" s="0" t="e">
        <f aca="false">SQRT(-1)</f>
        <v>#VALUE!</v>
      </c>
    </row>
    <row r="106" customFormat="false" ht="12.8" hidden="false" customHeight="false" outlineLevel="0" collapsed="false">
      <c r="K106" s="0" t="s">
        <v>117</v>
      </c>
      <c r="L106" s="0" t="n">
        <f aca="false">SQRT(0)</f>
        <v>0</v>
      </c>
    </row>
    <row r="107" customFormat="false" ht="12.8" hidden="false" customHeight="false" outlineLevel="0" collapsed="false">
      <c r="K107" s="0" t="s">
        <v>118</v>
      </c>
      <c r="L107" s="0" t="n">
        <f aca="false">SQRT(A4)</f>
        <v>2</v>
      </c>
    </row>
    <row r="108" customFormat="false" ht="12.8" hidden="false" customHeight="false" outlineLevel="0" collapsed="false">
      <c r="K108" s="0" t="s">
        <v>119</v>
      </c>
      <c r="L108" s="0" t="e">
        <f aca="false">SQRT(H1)</f>
        <v>#DIV/0!</v>
      </c>
    </row>
    <row r="109" customFormat="false" ht="12.8" hidden="false" customHeight="false" outlineLevel="0" collapsed="false">
      <c r="K109" s="0" t="s">
        <v>120</v>
      </c>
      <c r="L109" s="0" t="n">
        <f aca="false">SQRT("9")</f>
        <v>3</v>
      </c>
    </row>
    <row r="110" customFormat="false" ht="12.8" hidden="false" customHeight="false" outlineLevel="0" collapsed="false">
      <c r="K110" s="0" t="s">
        <v>121</v>
      </c>
      <c r="L110" s="0" t="e">
        <f aca="false">SQRT(B1)</f>
        <v>#VALUE!</v>
      </c>
    </row>
    <row r="111" customFormat="false" ht="12.8" hidden="false" customHeight="false" outlineLevel="0" collapsed="false">
      <c r="K111" s="0" t="s">
        <v>122</v>
      </c>
      <c r="L111" s="0" t="n">
        <f aca="false">SQRT(C2*-1)</f>
        <v>1.4142135623731</v>
      </c>
    </row>
    <row r="112" customFormat="false" ht="12.8" hidden="false" customHeight="false" outlineLevel="0" collapsed="false">
      <c r="K112" s="0" t="s">
        <v>123</v>
      </c>
      <c r="L112" s="0" t="n">
        <f aca="false">POWER(2,10)</f>
        <v>1024</v>
      </c>
    </row>
    <row r="113" customFormat="false" ht="12.8" hidden="false" customHeight="false" outlineLevel="0" collapsed="false">
      <c r="K113" s="0" t="s">
        <v>124</v>
      </c>
      <c r="L113" s="0" t="n">
        <f aca="false">POWER(2,-1)</f>
        <v>0.5</v>
      </c>
    </row>
    <row r="114" customFormat="false" ht="12.8" hidden="false" customHeight="false" outlineLevel="0" collapsed="false">
      <c r="K114" s="0" t="s">
        <v>125</v>
      </c>
      <c r="L114" s="0" t="n">
        <f aca="false">POWER(0,0)</f>
        <v>1</v>
      </c>
    </row>
    <row r="115" customFormat="false" ht="12.8" hidden="false" customHeight="false" outlineLevel="0" collapsed="false">
      <c r="K115" s="0" t="s">
        <v>126</v>
      </c>
      <c r="L115" s="0" t="n">
        <f aca="false">POWER(-8,1/3)</f>
        <v>-2</v>
      </c>
    </row>
    <row r="116" customFormat="false" ht="12.8" hidden="false" customHeight="false" outlineLevel="0" collapsed="false">
      <c r="K116" s="0" t="s">
        <v>127</v>
      </c>
      <c r="L116" s="0" t="n">
        <f aca="false">POWER(A3,A2)</f>
        <v>9</v>
      </c>
    </row>
    <row r="117" customFormat="false" ht="12.8" hidden="false" customHeight="false" outlineLevel="0" collapsed="false">
      <c r="K117" s="0" t="s">
        <v>128</v>
      </c>
      <c r="L117" s="0" t="e">
        <f aca="false">POWER(H1,2)</f>
        <v>#DIV/0!</v>
      </c>
    </row>
    <row r="118" customFormat="false" ht="12.8" hidden="false" customHeight="false" outlineLevel="0" collapsed="false">
      <c r="K118" s="0" t="s">
        <v>129</v>
      </c>
      <c r="L118" s="0" t="e">
        <f aca="false">POWER(0,-1)</f>
        <v>#NUM!</v>
      </c>
    </row>
    <row r="119" customFormat="false" ht="12.8" hidden="false" customHeight="false" outlineLevel="0" collapsed="false">
      <c r="K119" s="0" t="s">
        <v>130</v>
      </c>
      <c r="L119" s="0" t="n">
        <f aca="false">POWER(4,0.5)</f>
        <v>2</v>
      </c>
    </row>
    <row r="120" customFormat="false" ht="12.8" hidden="false" customHeight="false" outlineLevel="0" collapsed="false">
      <c r="K120" s="0" t="s">
        <v>131</v>
      </c>
      <c r="L120" s="0" t="n">
        <f aca="false">POWER(-2,3)</f>
        <v>-8</v>
      </c>
    </row>
    <row r="121" customFormat="false" ht="12.8" hidden="false" customHeight="false" outlineLevel="0" collapsed="false">
      <c r="K121" s="0" t="s">
        <v>132</v>
      </c>
      <c r="L121" s="0" t="n">
        <f aca="false">POWER(D4,2)</f>
        <v>0</v>
      </c>
    </row>
    <row r="122" customFormat="false" ht="12.8" hidden="false" customHeight="false" outlineLevel="0" collapsed="false">
      <c r="K122" s="0" t="s">
        <v>133</v>
      </c>
      <c r="L122" s="0" t="n">
        <f aca="false">PI()</f>
        <v>3.14159265358979</v>
      </c>
    </row>
    <row r="123" customFormat="false" ht="12.8" hidden="false" customHeight="false" outlineLevel="0" collapsed="false">
      <c r="K123" s="0" t="s">
        <v>134</v>
      </c>
      <c r="L123" s="0" t="n">
        <f aca="false">PI()*2</f>
        <v>6.28318530717959</v>
      </c>
    </row>
    <row r="124" customFormat="false" ht="12.8" hidden="false" customHeight="false" outlineLevel="0" collapsed="false">
      <c r="K124" s="0" t="s">
        <v>135</v>
      </c>
      <c r="L124" s="0" t="n">
        <f aca="false">ROUND(PI(),2)</f>
        <v>3.14</v>
      </c>
    </row>
    <row r="125" customFormat="false" ht="12.8" hidden="false" customHeight="false" outlineLevel="0" collapsed="false">
      <c r="K125" s="0" t="s">
        <v>136</v>
      </c>
      <c r="L125" s="0" t="e">
        <f aca="false">PI()+H1</f>
        <v>#DIV/0!</v>
      </c>
    </row>
    <row r="126" customFormat="false" ht="12.8" hidden="false" customHeight="false" outlineLevel="0" collapsed="false">
      <c r="K126" s="0" t="s">
        <v>137</v>
      </c>
      <c r="L126" s="0" t="n">
        <f aca="false">PI()/PI()</f>
        <v>1</v>
      </c>
    </row>
    <row r="127" customFormat="false" ht="12.8" hidden="false" customHeight="false" outlineLevel="0" collapsed="false">
      <c r="K127" s="0" t="s">
        <v>138</v>
      </c>
      <c r="L127" s="0" t="n">
        <f aca="false">C1*PI()</f>
        <v>32.9867228626928</v>
      </c>
    </row>
    <row r="128" customFormat="false" ht="12.8" hidden="false" customHeight="false" outlineLevel="0" collapsed="false">
      <c r="K128" s="0" t="s">
        <v>139</v>
      </c>
      <c r="L128" s="0" t="n">
        <f aca="false">PRODUCT(1,2,3,4)</f>
        <v>24</v>
      </c>
    </row>
    <row r="129" customFormat="false" ht="12.8" hidden="false" customHeight="false" outlineLevel="0" collapsed="false">
      <c r="K129" s="0" t="s">
        <v>140</v>
      </c>
      <c r="L129" s="0" t="n">
        <f aca="false">PRODUCT(A1:A6)</f>
        <v>720</v>
      </c>
    </row>
    <row r="130" customFormat="false" ht="12.8" hidden="false" customHeight="false" outlineLevel="0" collapsed="false">
      <c r="K130" s="0" t="s">
        <v>141</v>
      </c>
      <c r="L130" s="0" t="n">
        <f aca="false">PRODUCT(B1:B3)</f>
        <v>0</v>
      </c>
    </row>
    <row r="131" customFormat="false" ht="12.8" hidden="false" customHeight="false" outlineLevel="0" collapsed="false">
      <c r="K131" s="0" t="s">
        <v>142</v>
      </c>
      <c r="L131" s="0" t="e">
        <f aca="false">PRODUCT(A1:A3,H1)</f>
        <v>#DIV/0!</v>
      </c>
    </row>
    <row r="132" customFormat="false" ht="12.8" hidden="false" customHeight="false" outlineLevel="0" collapsed="false">
      <c r="K132" s="0" t="s">
        <v>143</v>
      </c>
      <c r="L132" s="0" t="n">
        <f aca="false">PRODUCT(C1:C3)</f>
        <v>0</v>
      </c>
    </row>
    <row r="133" customFormat="false" ht="12.8" hidden="false" customHeight="false" outlineLevel="0" collapsed="false">
      <c r="K133" s="0" t="s">
        <v>144</v>
      </c>
      <c r="L133" s="0" t="n">
        <f aca="false">PRODUCT(D4)</f>
        <v>0</v>
      </c>
    </row>
    <row r="134" customFormat="false" ht="12.8" hidden="false" customHeight="false" outlineLevel="0" collapsed="false">
      <c r="K134" s="0" t="s">
        <v>145</v>
      </c>
      <c r="L134" s="0" t="e">
        <f aca="false">PRODUCT("2",3)</f>
        <v>#VALUE!</v>
      </c>
    </row>
    <row r="135" customFormat="false" ht="12.8" hidden="false" customHeight="false" outlineLevel="0" collapsed="false">
      <c r="K135" s="0" t="s">
        <v>146</v>
      </c>
      <c r="L135" s="0" t="n">
        <f aca="false">PRODUCT(A1:A2,D1:D2)</f>
        <v>0</v>
      </c>
    </row>
    <row r="136" customFormat="false" ht="12.8" hidden="false" customHeight="false" outlineLevel="0" collapsed="false">
      <c r="K136" s="0" t="s">
        <v>147</v>
      </c>
      <c r="L136" s="0" t="n">
        <f aca="false">PRODUCT(C2,C2)</f>
        <v>4</v>
      </c>
    </row>
    <row r="137" customFormat="false" ht="12.8" hidden="false" customHeight="false" outlineLevel="0" collapsed="false">
      <c r="K137" s="0" t="s">
        <v>148</v>
      </c>
      <c r="L137" s="0" t="n">
        <f aca="false">SUMIF(A1:A6,"&gt;3")</f>
        <v>15</v>
      </c>
    </row>
    <row r="138" customFormat="false" ht="12.8" hidden="false" customHeight="false" outlineLevel="0" collapsed="false">
      <c r="K138" s="0" t="s">
        <v>149</v>
      </c>
      <c r="L138" s="0" t="n">
        <f aca="false">SUMIF(B1:B6,"apple",A1:A6)</f>
        <v>1</v>
      </c>
    </row>
    <row r="139" customFormat="false" ht="12.8" hidden="false" customHeight="false" outlineLevel="0" collapsed="false">
      <c r="K139" s="0" t="s">
        <v>150</v>
      </c>
      <c r="L139" s="0" t="n">
        <f aca="false">SUMIF(C1:C6,"&lt;0")</f>
        <v>-2</v>
      </c>
    </row>
    <row r="140" customFormat="false" ht="12.8" hidden="false" customHeight="false" outlineLevel="0" collapsed="false">
      <c r="K140" s="0" t="s">
        <v>151</v>
      </c>
      <c r="L140" s="0" t="n">
        <f aca="false">SUMIF(B1:B6,"*e*",A1:A6)</f>
        <v>13</v>
      </c>
    </row>
    <row r="141" customFormat="false" ht="12.8" hidden="false" customHeight="false" outlineLevel="0" collapsed="false">
      <c r="K141" s="0" t="s">
        <v>152</v>
      </c>
      <c r="L141" s="0" t="n">
        <f aca="false">SUMIF(A1:A6,"&gt;="&amp;A3)</f>
        <v>18</v>
      </c>
    </row>
    <row r="142" customFormat="false" ht="12.8" hidden="false" customHeight="false" outlineLevel="0" collapsed="false">
      <c r="K142" s="0" t="s">
        <v>153</v>
      </c>
      <c r="L142" s="0" t="n">
        <f aca="false">SUMIF(B1:B6,"zzz",A1:A6)</f>
        <v>0</v>
      </c>
    </row>
    <row r="143" customFormat="false" ht="12.8" hidden="false" customHeight="false" outlineLevel="0" collapsed="false">
      <c r="K143" s="0" t="s">
        <v>154</v>
      </c>
      <c r="L143" s="0" t="e">
        <f aca="false">SUMIF(A1:A6,"&lt;&gt;"&amp;H1)</f>
        <v>#DIV/0!</v>
      </c>
    </row>
    <row r="144" customFormat="false" ht="12.8" hidden="false" customHeight="false" outlineLevel="0" collapsed="false">
      <c r="K144" s="0" t="s">
        <v>155</v>
      </c>
      <c r="L144" s="0" t="n">
        <f aca="false">SUMIF(H1:H2,"&gt;0")</f>
        <v>0</v>
      </c>
    </row>
    <row r="145" customFormat="false" ht="12.8" hidden="false" customHeight="false" outlineLevel="0" collapsed="false">
      <c r="K145" s="0" t="s">
        <v>156</v>
      </c>
      <c r="L145" s="0" t="n">
        <f aca="false">SUMIF(D1:D6,TRUE(),A1:A6)</f>
        <v>1</v>
      </c>
    </row>
    <row r="146" customFormat="false" ht="12.8" hidden="false" customHeight="false" outlineLevel="0" collapsed="false">
      <c r="K146" s="0" t="s">
        <v>157</v>
      </c>
      <c r="L146" s="0" t="n">
        <f aca="false">SUMIF(A1:A6,"&gt;2",C1:C6)</f>
        <v>1000103.25</v>
      </c>
    </row>
    <row r="147" customFormat="false" ht="12.8" hidden="false" customHeight="false" outlineLevel="0" collapsed="false">
      <c r="K147" s="0" t="s">
        <v>158</v>
      </c>
      <c r="L147" s="0" t="n">
        <f aca="false">SUMIF(B1:B6,"APPLE",A1:A6)</f>
        <v>1</v>
      </c>
    </row>
    <row r="148" customFormat="false" ht="12.8" hidden="false" customHeight="false" outlineLevel="0" collapsed="false">
      <c r="K148" s="0" t="s">
        <v>159</v>
      </c>
      <c r="L148" s="0" t="n">
        <f aca="false">SUMIF(A1:A6,3)</f>
        <v>3</v>
      </c>
    </row>
    <row r="149" customFormat="false" ht="12.8" hidden="false" customHeight="false" outlineLevel="0" collapsed="false">
      <c r="K149" s="0" t="s">
        <v>160</v>
      </c>
      <c r="L149" s="0" t="n">
        <f aca="false">COUNTIF(A1:A6,"&gt;3")</f>
        <v>3</v>
      </c>
    </row>
    <row r="150" customFormat="false" ht="12.8" hidden="false" customHeight="false" outlineLevel="0" collapsed="false">
      <c r="K150" s="0" t="s">
        <v>161</v>
      </c>
      <c r="L150" s="0" t="n">
        <f aca="false">COUNTIF(B1:B6,"a*")</f>
        <v>1</v>
      </c>
    </row>
    <row r="151" customFormat="false" ht="12.8" hidden="false" customHeight="false" outlineLevel="0" collapsed="false">
      <c r="K151" s="0" t="s">
        <v>162</v>
      </c>
      <c r="L151" s="0" t="n">
        <f aca="false">COUNTIF(B1:B6,"?????")</f>
        <v>1</v>
      </c>
    </row>
    <row r="152" customFormat="false" ht="12.8" hidden="false" customHeight="false" outlineLevel="0" collapsed="false">
      <c r="K152" s="0" t="s">
        <v>163</v>
      </c>
      <c r="L152" s="0" t="n">
        <f aca="false">COUNTIF(A1:A6,3)</f>
        <v>1</v>
      </c>
    </row>
    <row r="153" customFormat="false" ht="12.8" hidden="false" customHeight="false" outlineLevel="0" collapsed="false">
      <c r="K153" s="0" t="s">
        <v>164</v>
      </c>
      <c r="L153" s="0" t="n">
        <f aca="false">COUNTIF(D1:D6,"")</f>
        <v>2</v>
      </c>
    </row>
    <row r="154" customFormat="false" ht="12.8" hidden="false" customHeight="false" outlineLevel="0" collapsed="false">
      <c r="K154" s="0" t="s">
        <v>165</v>
      </c>
      <c r="L154" s="0" t="n">
        <f aca="false">COUNTIF(B1:B6,"APPLE")</f>
        <v>1</v>
      </c>
    </row>
    <row r="155" customFormat="false" ht="12.8" hidden="false" customHeight="false" outlineLevel="0" collapsed="false">
      <c r="K155" s="0" t="s">
        <v>166</v>
      </c>
      <c r="L155" s="0" t="e">
        <f aca="false">COUNTIF(A1:A6,"&lt;&gt;"&amp;H1)</f>
        <v>#DIV/0!</v>
      </c>
    </row>
    <row r="156" customFormat="false" ht="12.8" hidden="false" customHeight="false" outlineLevel="0" collapsed="false">
      <c r="K156" s="0" t="s">
        <v>167</v>
      </c>
      <c r="L156" s="0" t="n">
        <f aca="false">COUNTIF(D1:D6,TRUE())</f>
        <v>1</v>
      </c>
    </row>
    <row r="157" customFormat="false" ht="12.8" hidden="false" customHeight="false" outlineLevel="0" collapsed="false">
      <c r="K157" s="0" t="s">
        <v>168</v>
      </c>
      <c r="L157" s="0" t="n">
        <f aca="false">COUNTIF(D1:D6,42)</f>
        <v>0</v>
      </c>
    </row>
    <row r="158" customFormat="false" ht="12.8" hidden="false" customHeight="false" outlineLevel="0" collapsed="false">
      <c r="K158" s="0" t="s">
        <v>169</v>
      </c>
      <c r="L158" s="0" t="n">
        <f aca="false">COUNTIF(H1:H2,"#N/A")</f>
        <v>1</v>
      </c>
    </row>
    <row r="159" customFormat="false" ht="12.8" hidden="false" customHeight="false" outlineLevel="0" collapsed="false">
      <c r="K159" s="0" t="s">
        <v>170</v>
      </c>
      <c r="L159" s="0" t="n">
        <f aca="false">COUNTIF(C1:C6,"&lt;0")</f>
        <v>1</v>
      </c>
    </row>
    <row r="160" customFormat="false" ht="12.8" hidden="false" customHeight="false" outlineLevel="0" collapsed="false">
      <c r="K160" s="0" t="s">
        <v>171</v>
      </c>
      <c r="L160" s="0" t="n">
        <f aca="false">COUNTIF(A1:A6,"&gt;="&amp;A3)</f>
        <v>4</v>
      </c>
    </row>
    <row r="161" customFormat="false" ht="12.8" hidden="false" customHeight="false" outlineLevel="0" collapsed="false">
      <c r="K161" s="0" t="s">
        <v>172</v>
      </c>
      <c r="L161" s="0" t="n">
        <f aca="false">SUMPRODUCT(A1:A3,A1:A3)</f>
        <v>14</v>
      </c>
    </row>
    <row r="162" customFormat="false" ht="12.8" hidden="false" customHeight="false" outlineLevel="0" collapsed="false">
      <c r="K162" s="0" t="s">
        <v>173</v>
      </c>
      <c r="L162" s="0" t="n">
        <f aca="false">SUMPRODUCT(A1:A3,C1:C3)</f>
        <v>6.5</v>
      </c>
    </row>
    <row r="163" customFormat="false" ht="12.8" hidden="false" customHeight="false" outlineLevel="0" collapsed="false">
      <c r="K163" s="0" t="s">
        <v>174</v>
      </c>
      <c r="L163" s="0" t="n">
        <f aca="false">SUMPRODUCT(A1:A3,B1:B3)</f>
        <v>0</v>
      </c>
    </row>
    <row r="164" customFormat="false" ht="12.8" hidden="false" customHeight="false" outlineLevel="0" collapsed="false">
      <c r="K164" s="0" t="s">
        <v>175</v>
      </c>
      <c r="L164" s="0" t="e">
        <f aca="false">SUMPRODUCT(A1:A3,A1:A2)</f>
        <v>#VALUE!</v>
      </c>
    </row>
    <row r="165" customFormat="false" ht="12.8" hidden="false" customHeight="false" outlineLevel="0" collapsed="false">
      <c r="K165" s="0" t="s">
        <v>176</v>
      </c>
      <c r="L165" s="0" t="e">
        <f aca="false">SUMPRODUCT(A1:A3,H1:H3)</f>
        <v>#DIV/0!</v>
      </c>
    </row>
    <row r="166" customFormat="false" ht="12.8" hidden="false" customHeight="false" outlineLevel="0" collapsed="false">
      <c r="K166" s="0" t="s">
        <v>177</v>
      </c>
      <c r="L166" s="0" t="n">
        <f aca="false">SUMPRODUCT((A1:A6&gt;2)*(A1:A6&lt;5))</f>
        <v>2</v>
      </c>
    </row>
    <row r="167" customFormat="false" ht="12.8" hidden="false" customHeight="false" outlineLevel="0" collapsed="false">
      <c r="K167" s="0" t="s">
        <v>178</v>
      </c>
      <c r="L167" s="0" t="n">
        <f aca="false">SUMPRODUCT(A1:A6)</f>
        <v>21</v>
      </c>
    </row>
    <row r="168" customFormat="false" ht="12.8" hidden="false" customHeight="false" outlineLevel="0" collapsed="false">
      <c r="K168" s="0" t="s">
        <v>179</v>
      </c>
      <c r="L168" s="0" t="n">
        <f aca="false">SUMPRODUCT(A1:A2,D1:D2)</f>
        <v>1</v>
      </c>
    </row>
    <row r="169" customFormat="false" ht="12.8" hidden="false" customHeight="false" outlineLevel="0" collapsed="false">
      <c r="K169" s="0" t="s">
        <v>180</v>
      </c>
      <c r="L169" s="0" t="n">
        <f aca="false">SUMPRODUCT(A1:A3*2)</f>
        <v>12</v>
      </c>
    </row>
    <row r="170" customFormat="false" ht="12.8" hidden="false" customHeight="false" outlineLevel="0" collapsed="false">
      <c r="K170" s="0" t="s">
        <v>181</v>
      </c>
      <c r="L170" s="0" t="n">
        <f aca="false">CEILING(2.5,1)</f>
        <v>3</v>
      </c>
    </row>
    <row r="171" customFormat="false" ht="12.8" hidden="false" customHeight="false" outlineLevel="0" collapsed="false">
      <c r="K171" s="0" t="s">
        <v>182</v>
      </c>
      <c r="L171" s="0" t="n">
        <f aca="false">CEILING(-2.5,-1)</f>
        <v>-3</v>
      </c>
    </row>
    <row r="172" customFormat="false" ht="12.8" hidden="false" customHeight="false" outlineLevel="0" collapsed="false">
      <c r="K172" s="0" t="s">
        <v>183</v>
      </c>
      <c r="L172" s="0" t="n">
        <f aca="false">CEILING(-2.5,1)</f>
        <v>-2</v>
      </c>
    </row>
    <row r="173" customFormat="false" ht="12.8" hidden="false" customHeight="false" outlineLevel="0" collapsed="false">
      <c r="K173" s="0" t="s">
        <v>184</v>
      </c>
      <c r="L173" s="0" t="n">
        <f aca="false">CEILING(2.1,0)</f>
        <v>0</v>
      </c>
    </row>
    <row r="174" customFormat="false" ht="12.8" hidden="false" customHeight="false" outlineLevel="0" collapsed="false">
      <c r="K174" s="0" t="s">
        <v>185</v>
      </c>
      <c r="L174" s="0" t="n">
        <f aca="false">CEILING(C1,5)</f>
        <v>15</v>
      </c>
    </row>
    <row r="175" customFormat="false" ht="12.8" hidden="false" customHeight="false" outlineLevel="0" collapsed="false">
      <c r="K175" s="0" t="s">
        <v>186</v>
      </c>
      <c r="L175" s="0" t="e">
        <f aca="false">CEILING(H1,1)</f>
        <v>#DIV/0!</v>
      </c>
    </row>
    <row r="176" customFormat="false" ht="12.8" hidden="false" customHeight="false" outlineLevel="0" collapsed="false">
      <c r="K176" s="0" t="s">
        <v>187</v>
      </c>
      <c r="L176" s="0" t="e">
        <f aca="false">CEILING(2.5,-1)</f>
        <v>#VALUE!</v>
      </c>
    </row>
    <row r="177" customFormat="false" ht="12.8" hidden="false" customHeight="false" outlineLevel="0" collapsed="false">
      <c r="K177" s="0" t="s">
        <v>188</v>
      </c>
      <c r="L177" s="0" t="n">
        <f aca="false">CEILING(0,5)</f>
        <v>0</v>
      </c>
    </row>
    <row r="178" customFormat="false" ht="12.8" hidden="false" customHeight="false" outlineLevel="0" collapsed="false">
      <c r="K178" s="0" t="s">
        <v>189</v>
      </c>
      <c r="L178" s="0" t="n">
        <f aca="false">CEILING(1.234,0.01)</f>
        <v>1.24</v>
      </c>
    </row>
    <row r="179" customFormat="false" ht="12.8" hidden="false" customHeight="false" outlineLevel="0" collapsed="false">
      <c r="K179" s="0" t="s">
        <v>190</v>
      </c>
      <c r="L179" s="0" t="n">
        <f aca="false">CEILING(D4,3)</f>
        <v>0</v>
      </c>
    </row>
    <row r="180" customFormat="false" ht="12.8" hidden="false" customHeight="false" outlineLevel="0" collapsed="false">
      <c r="K180" s="0" t="s">
        <v>191</v>
      </c>
      <c r="L180" s="0" t="n">
        <f aca="false">IF(TRUE(),1,2)</f>
        <v>1</v>
      </c>
    </row>
    <row r="181" customFormat="false" ht="12.8" hidden="false" customHeight="false" outlineLevel="0" collapsed="false">
      <c r="K181" s="0" t="s">
        <v>192</v>
      </c>
      <c r="L181" s="0" t="n">
        <f aca="false">IF(FALSE(),1,2)</f>
        <v>2</v>
      </c>
    </row>
    <row r="182" customFormat="false" ht="12.8" hidden="false" customHeight="false" outlineLevel="0" collapsed="false">
      <c r="K182" s="0" t="s">
        <v>193</v>
      </c>
      <c r="L182" s="0" t="str">
        <f aca="false">IF(0,"y","n")</f>
        <v>n</v>
      </c>
    </row>
    <row r="183" customFormat="false" ht="12.8" hidden="false" customHeight="false" outlineLevel="0" collapsed="false">
      <c r="K183" s="0" t="s">
        <v>194</v>
      </c>
      <c r="L183" s="0" t="str">
        <f aca="false">IF(A1&gt;0,"pos","neg")</f>
        <v>pos</v>
      </c>
    </row>
    <row r="184" customFormat="false" ht="12.8" hidden="false" customHeight="false" outlineLevel="0" collapsed="false">
      <c r="K184" s="0" t="s">
        <v>195</v>
      </c>
      <c r="L184" s="0" t="str">
        <f aca="false">IF(D4,"y","n")</f>
        <v>n</v>
      </c>
    </row>
    <row r="185" customFormat="false" ht="12.8" hidden="false" customHeight="false" outlineLevel="0" collapsed="false">
      <c r="K185" s="0" t="s">
        <v>196</v>
      </c>
      <c r="L185" s="0" t="n">
        <f aca="false">IF("TRUE",1,2)</f>
        <v>1</v>
      </c>
    </row>
    <row r="186" customFormat="false" ht="12.8" hidden="false" customHeight="false" outlineLevel="0" collapsed="false">
      <c r="K186" s="0" t="s">
        <v>197</v>
      </c>
      <c r="L186" s="0" t="e">
        <f aca="false">IF(H1,1,2)</f>
        <v>#DIV/0!</v>
      </c>
    </row>
    <row r="187" customFormat="false" ht="12.8" hidden="false" customHeight="false" outlineLevel="0" collapsed="false">
      <c r="K187" s="0" t="s">
        <v>198</v>
      </c>
      <c r="L187" s="1" t="b">
        <f aca="false">IF(FALSE(),1)</f>
        <v>0</v>
      </c>
    </row>
    <row r="188" customFormat="false" ht="12.8" hidden="false" customHeight="false" outlineLevel="0" collapsed="false">
      <c r="K188" s="0" t="s">
        <v>199</v>
      </c>
      <c r="L188" s="0" t="n">
        <f aca="false">IF(TRUE(),1,1/0)</f>
        <v>1</v>
      </c>
    </row>
    <row r="189" customFormat="false" ht="12.8" hidden="false" customHeight="false" outlineLevel="0" collapsed="false">
      <c r="K189" s="0" t="s">
        <v>200</v>
      </c>
      <c r="L189" s="0" t="n">
        <f aca="false">IF(FALSE(),1/0,2)</f>
        <v>2</v>
      </c>
    </row>
    <row r="190" customFormat="false" ht="12.8" hidden="false" customHeight="false" outlineLevel="0" collapsed="false">
      <c r="K190" s="0" t="s">
        <v>201</v>
      </c>
      <c r="L190" s="0" t="e">
        <f aca="false">IF(B1,1,2)</f>
        <v>#VALUE!</v>
      </c>
    </row>
    <row r="191" customFormat="false" ht="12.8" hidden="false" customHeight="false" outlineLevel="0" collapsed="false">
      <c r="K191" s="0" t="s">
        <v>202</v>
      </c>
      <c r="L191" s="0" t="str">
        <f aca="false">IF(C3,"y","n")</f>
        <v>n</v>
      </c>
    </row>
    <row r="192" customFormat="false" ht="12.8" hidden="false" customHeight="false" outlineLevel="0" collapsed="false">
      <c r="K192" s="0" t="s">
        <v>203</v>
      </c>
      <c r="L192" s="0" t="str">
        <f aca="false">IF(A2,"y","n")</f>
        <v>y</v>
      </c>
    </row>
    <row r="193" customFormat="false" ht="12.8" hidden="false" customHeight="false" outlineLevel="0" collapsed="false">
      <c r="K193" s="0" t="s">
        <v>204</v>
      </c>
      <c r="L193" s="1" t="b">
        <f aca="false">IF(1&gt;2,"a")</f>
        <v>0</v>
      </c>
    </row>
    <row r="194" customFormat="false" ht="12.8" hidden="false" customHeight="false" outlineLevel="0" collapsed="false">
      <c r="K194" s="0" t="s">
        <v>205</v>
      </c>
      <c r="L194" s="0" t="str">
        <f aca="false">IF(D3="","empty","filled")</f>
        <v>empty</v>
      </c>
    </row>
    <row r="195" customFormat="false" ht="12.8" hidden="false" customHeight="false" outlineLevel="0" collapsed="false">
      <c r="K195" s="0" t="s">
        <v>206</v>
      </c>
      <c r="L195" s="0" t="str">
        <f aca="false">IF(D1,"yes","no")</f>
        <v>yes</v>
      </c>
    </row>
    <row r="196" customFormat="false" ht="12.8" hidden="false" customHeight="false" outlineLevel="0" collapsed="false">
      <c r="K196" s="0" t="s">
        <v>207</v>
      </c>
      <c r="L196" s="1" t="b">
        <f aca="false">AND(TRUE(),TRUE())</f>
        <v>1</v>
      </c>
    </row>
    <row r="197" customFormat="false" ht="12.8" hidden="false" customHeight="false" outlineLevel="0" collapsed="false">
      <c r="K197" s="0" t="s">
        <v>208</v>
      </c>
      <c r="L197" s="1" t="b">
        <f aca="false">AND(TRUE(),FALSE())</f>
        <v>0</v>
      </c>
    </row>
    <row r="198" customFormat="false" ht="12.8" hidden="false" customHeight="false" outlineLevel="0" collapsed="false">
      <c r="K198" s="0" t="s">
        <v>209</v>
      </c>
      <c r="L198" s="1" t="b">
        <f aca="false">AND(1,2)</f>
        <v>1</v>
      </c>
    </row>
    <row r="199" customFormat="false" ht="12.8" hidden="false" customHeight="false" outlineLevel="0" collapsed="false">
      <c r="K199" s="0" t="s">
        <v>210</v>
      </c>
      <c r="L199" s="1" t="b">
        <f aca="false">AND(A1:A3)</f>
        <v>1</v>
      </c>
    </row>
    <row r="200" customFormat="false" ht="12.8" hidden="false" customHeight="false" outlineLevel="0" collapsed="false">
      <c r="K200" s="0" t="s">
        <v>211</v>
      </c>
      <c r="L200" s="1" t="b">
        <f aca="false">AND(C1:C3)</f>
        <v>0</v>
      </c>
    </row>
    <row r="201" customFormat="false" ht="12.8" hidden="false" customHeight="false" outlineLevel="0" collapsed="false">
      <c r="K201" s="0" t="s">
        <v>212</v>
      </c>
      <c r="L201" s="1" t="b">
        <f aca="false">AND(D1:D2)</f>
        <v>0</v>
      </c>
    </row>
    <row r="202" customFormat="false" ht="12.8" hidden="false" customHeight="false" outlineLevel="0" collapsed="false">
      <c r="K202" s="0" t="s">
        <v>213</v>
      </c>
      <c r="L202" s="1" t="e">
        <f aca="false">AND(B1:B2)</f>
        <v>#VALUE!</v>
      </c>
    </row>
    <row r="203" customFormat="false" ht="12.8" hidden="false" customHeight="false" outlineLevel="0" collapsed="false">
      <c r="K203" s="0" t="s">
        <v>214</v>
      </c>
      <c r="L203" s="1" t="e">
        <f aca="false">AND(D4)</f>
        <v>#VALUE!</v>
      </c>
    </row>
    <row r="204" customFormat="false" ht="12.8" hidden="false" customHeight="false" outlineLevel="0" collapsed="false">
      <c r="K204" s="0" t="s">
        <v>215</v>
      </c>
      <c r="L204" s="1" t="e">
        <f aca="false">AND(TRUE(),H1)</f>
        <v>#DIV/0!</v>
      </c>
    </row>
    <row r="205" customFormat="false" ht="12.8" hidden="false" customHeight="false" outlineLevel="0" collapsed="false">
      <c r="K205" s="0" t="s">
        <v>216</v>
      </c>
      <c r="L205" s="1" t="e">
        <f aca="false">AND(FALSE(),H1)</f>
        <v>#DIV/0!</v>
      </c>
    </row>
    <row r="206" customFormat="false" ht="12.8" hidden="false" customHeight="false" outlineLevel="0" collapsed="false">
      <c r="K206" s="0" t="s">
        <v>217</v>
      </c>
      <c r="L206" s="1" t="b">
        <f aca="false">AND(D1,D5)</f>
        <v>1</v>
      </c>
    </row>
    <row r="207" customFormat="false" ht="12.8" hidden="false" customHeight="false" outlineLevel="0" collapsed="false">
      <c r="K207" s="0" t="s">
        <v>218</v>
      </c>
      <c r="L207" s="1" t="b">
        <f aca="false">AND(A1&gt;0,C1&gt;0,B1="apple")</f>
        <v>1</v>
      </c>
    </row>
    <row r="208" customFormat="false" ht="12.8" hidden="false" customHeight="false" outlineLevel="0" collapsed="false">
      <c r="K208" s="0" t="s">
        <v>219</v>
      </c>
      <c r="L208" s="1" t="b">
        <f aca="false">OR(FALSE(),FALSE())</f>
        <v>0</v>
      </c>
    </row>
    <row r="209" customFormat="false" ht="12.8" hidden="false" customHeight="false" outlineLevel="0" collapsed="false">
      <c r="K209" s="0" t="s">
        <v>220</v>
      </c>
      <c r="L209" s="1" t="b">
        <f aca="false">OR(FALSE(),TRUE())</f>
        <v>1</v>
      </c>
    </row>
    <row r="210" customFormat="false" ht="12.8" hidden="false" customHeight="false" outlineLevel="0" collapsed="false">
      <c r="K210" s="0" t="s">
        <v>221</v>
      </c>
      <c r="L210" s="1" t="b">
        <f aca="false">OR(0,0)</f>
        <v>0</v>
      </c>
    </row>
    <row r="211" customFormat="false" ht="12.8" hidden="false" customHeight="false" outlineLevel="0" collapsed="false">
      <c r="K211" s="0" t="s">
        <v>222</v>
      </c>
      <c r="L211" s="1" t="b">
        <f aca="false">OR(C1:C3)</f>
        <v>1</v>
      </c>
    </row>
    <row r="212" customFormat="false" ht="12.8" hidden="false" customHeight="false" outlineLevel="0" collapsed="false">
      <c r="K212" s="0" t="s">
        <v>223</v>
      </c>
      <c r="L212" s="1" t="b">
        <f aca="false">OR(D2,D3)</f>
        <v>0</v>
      </c>
    </row>
    <row r="213" customFormat="false" ht="12.8" hidden="false" customHeight="false" outlineLevel="0" collapsed="false">
      <c r="K213" s="0" t="s">
        <v>224</v>
      </c>
      <c r="L213" s="1" t="e">
        <f aca="false">OR(B1:B2)</f>
        <v>#VALUE!</v>
      </c>
    </row>
    <row r="214" customFormat="false" ht="12.8" hidden="false" customHeight="false" outlineLevel="0" collapsed="false">
      <c r="K214" s="0" t="s">
        <v>225</v>
      </c>
      <c r="L214" s="1" t="e">
        <f aca="false">OR(H1,TRUE())</f>
        <v>#DIV/0!</v>
      </c>
    </row>
    <row r="215" customFormat="false" ht="12.8" hidden="false" customHeight="false" outlineLevel="0" collapsed="false">
      <c r="K215" s="0" t="s">
        <v>226</v>
      </c>
      <c r="L215" s="1" t="b">
        <f aca="false">OR(D4,FALSE())</f>
        <v>0</v>
      </c>
    </row>
    <row r="216" customFormat="false" ht="12.8" hidden="false" customHeight="false" outlineLevel="0" collapsed="false">
      <c r="K216" s="0" t="s">
        <v>227</v>
      </c>
      <c r="L216" s="1" t="b">
        <f aca="false">OR(A1&lt;0,C2&lt;0)</f>
        <v>1</v>
      </c>
    </row>
    <row r="217" customFormat="false" ht="12.8" hidden="false" customHeight="false" outlineLevel="0" collapsed="false">
      <c r="K217" s="0" t="s">
        <v>228</v>
      </c>
      <c r="L217" s="1" t="b">
        <f aca="false">NOT(TRUE())</f>
        <v>0</v>
      </c>
    </row>
    <row r="218" customFormat="false" ht="12.8" hidden="false" customHeight="false" outlineLevel="0" collapsed="false">
      <c r="K218" s="0" t="s">
        <v>229</v>
      </c>
      <c r="L218" s="1" t="b">
        <f aca="false">NOT(0)</f>
        <v>1</v>
      </c>
    </row>
    <row r="219" customFormat="false" ht="12.8" hidden="false" customHeight="false" outlineLevel="0" collapsed="false">
      <c r="K219" s="0" t="s">
        <v>230</v>
      </c>
      <c r="L219" s="1" t="b">
        <f aca="false">NOT(D4)</f>
        <v>1</v>
      </c>
    </row>
    <row r="220" customFormat="false" ht="12.8" hidden="false" customHeight="false" outlineLevel="0" collapsed="false">
      <c r="K220" s="0" t="s">
        <v>231</v>
      </c>
      <c r="L220" s="1" t="b">
        <f aca="false">NOT(A1)</f>
        <v>0</v>
      </c>
    </row>
    <row r="221" customFormat="false" ht="12.8" hidden="false" customHeight="false" outlineLevel="0" collapsed="false">
      <c r="K221" s="0" t="s">
        <v>232</v>
      </c>
      <c r="L221" s="1" t="e">
        <f aca="false">NOT(H1)</f>
        <v>#DIV/0!</v>
      </c>
    </row>
    <row r="222" customFormat="false" ht="12.8" hidden="false" customHeight="false" outlineLevel="0" collapsed="false">
      <c r="K222" s="0" t="s">
        <v>233</v>
      </c>
      <c r="L222" s="1" t="e">
        <f aca="false">NOT(B1)</f>
        <v>#VALUE!</v>
      </c>
    </row>
    <row r="223" customFormat="false" ht="12.8" hidden="false" customHeight="false" outlineLevel="0" collapsed="false">
      <c r="K223" s="0" t="s">
        <v>234</v>
      </c>
      <c r="L223" s="1" t="e">
        <f aca="false">NOT("abc")</f>
        <v>#VALUE!</v>
      </c>
    </row>
    <row r="224" customFormat="false" ht="12.8" hidden="false" customHeight="false" outlineLevel="0" collapsed="false">
      <c r="K224" s="0" t="s">
        <v>235</v>
      </c>
      <c r="L224" s="1" t="b">
        <f aca="false">NOT(D2)</f>
        <v>1</v>
      </c>
    </row>
    <row r="225" customFormat="false" ht="12.8" hidden="false" customHeight="false" outlineLevel="0" collapsed="false">
      <c r="K225" s="0" t="s">
        <v>236</v>
      </c>
      <c r="L225" s="1" t="b">
        <f aca="false">NOT(A1&gt;2)</f>
        <v>1</v>
      </c>
    </row>
    <row r="226" customFormat="false" ht="12.8" hidden="false" customHeight="false" outlineLevel="0" collapsed="false">
      <c r="K226" s="0" t="s">
        <v>237</v>
      </c>
      <c r="L226" s="0" t="str">
        <f aca="false">IFERROR(1/0,"err")</f>
        <v>err</v>
      </c>
    </row>
    <row r="227" customFormat="false" ht="12.8" hidden="false" customHeight="false" outlineLevel="0" collapsed="false">
      <c r="K227" s="0" t="s">
        <v>238</v>
      </c>
      <c r="L227" s="0" t="n">
        <f aca="false">IFERROR(5,"err")</f>
        <v>5</v>
      </c>
    </row>
    <row r="228" customFormat="false" ht="12.8" hidden="false" customHeight="false" outlineLevel="0" collapsed="false">
      <c r="K228" s="0" t="s">
        <v>239</v>
      </c>
      <c r="L228" s="0" t="n">
        <f aca="false">IFERROR(H1,0)</f>
        <v>0</v>
      </c>
    </row>
    <row r="229" customFormat="false" ht="12.8" hidden="false" customHeight="false" outlineLevel="0" collapsed="false">
      <c r="K229" s="0" t="s">
        <v>240</v>
      </c>
      <c r="L229" s="0" t="str">
        <f aca="false">IFERROR(H2,"na")</f>
        <v>na</v>
      </c>
    </row>
    <row r="230" customFormat="false" ht="12.8" hidden="false" customHeight="false" outlineLevel="0" collapsed="false">
      <c r="K230" s="0" t="s">
        <v>241</v>
      </c>
      <c r="L230" s="0" t="n">
        <f aca="false">IFERROR(A1,0)</f>
        <v>1</v>
      </c>
    </row>
    <row r="231" customFormat="false" ht="12.8" hidden="false" customHeight="false" outlineLevel="0" collapsed="false">
      <c r="K231" s="0" t="s">
        <v>242</v>
      </c>
      <c r="L231" s="0" t="n">
        <f aca="false">IFERROR(D4,"x")</f>
        <v>0</v>
      </c>
    </row>
    <row r="232" customFormat="false" ht="12.8" hidden="false" customHeight="false" outlineLevel="0" collapsed="false">
      <c r="K232" s="0" t="s">
        <v>243</v>
      </c>
      <c r="L232" s="0" t="str">
        <f aca="false">IFERROR(VLOOKUP(999,F1:G4,2,FALSE()),"missing")</f>
        <v>missing</v>
      </c>
    </row>
    <row r="233" customFormat="false" ht="12.8" hidden="false" customHeight="false" outlineLevel="0" collapsed="false">
      <c r="K233" s="0" t="s">
        <v>244</v>
      </c>
      <c r="L233" s="0" t="n">
        <f aca="false">IFERROR(SQRT(-1),-1)</f>
        <v>-1</v>
      </c>
    </row>
    <row r="234" customFormat="false" ht="12.8" hidden="false" customHeight="false" outlineLevel="0" collapsed="false">
      <c r="K234" s="0" t="s">
        <v>245</v>
      </c>
      <c r="L234" s="0" t="e">
        <f aca="false">IFERROR(1/0,1/0)</f>
        <v>#DIV/0!</v>
      </c>
    </row>
    <row r="235" customFormat="false" ht="12.8" hidden="false" customHeight="false" outlineLevel="0" collapsed="false">
      <c r="K235" s="0" t="s">
        <v>246</v>
      </c>
      <c r="L235" s="0" t="str">
        <f aca="false">IFERROR(B1,"x")</f>
        <v>apple</v>
      </c>
    </row>
    <row r="236" customFormat="false" ht="12.8" hidden="false" customHeight="false" outlineLevel="0" collapsed="false">
      <c r="K236" s="0" t="s">
        <v>247</v>
      </c>
      <c r="L236" s="0" t="str">
        <f aca="false">IFERROR(unknownfn(1),"x")</f>
        <v>x</v>
      </c>
    </row>
    <row r="237" customFormat="false" ht="12.8" hidden="false" customHeight="false" outlineLevel="0" collapsed="false">
      <c r="K237" s="0" t="s">
        <v>248</v>
      </c>
      <c r="L237" s="1" t="b">
        <f aca="false">TRUE()</f>
        <v>1</v>
      </c>
    </row>
    <row r="238" customFormat="false" ht="12.8" hidden="false" customHeight="false" outlineLevel="0" collapsed="false">
      <c r="K238" s="0" t="s">
        <v>249</v>
      </c>
      <c r="L238" s="0" t="n">
        <f aca="false">TRUE()+1</f>
        <v>2</v>
      </c>
    </row>
    <row r="239" customFormat="false" ht="12.8" hidden="false" customHeight="false" outlineLevel="0" collapsed="false">
      <c r="K239" s="0" t="s">
        <v>250</v>
      </c>
      <c r="L239" s="1" t="b">
        <f aca="false">AND(TRUE(),TRUE())</f>
        <v>1</v>
      </c>
    </row>
    <row r="240" customFormat="false" ht="12.8" hidden="false" customHeight="false" outlineLevel="0" collapsed="false">
      <c r="K240" s="0" t="s">
        <v>251</v>
      </c>
      <c r="L240" s="0" t="str">
        <f aca="false">IF(TRUE(),"y","n")</f>
        <v>y</v>
      </c>
    </row>
    <row r="241" customFormat="false" ht="12.8" hidden="false" customHeight="false" outlineLevel="0" collapsed="false">
      <c r="K241" s="0" t="s">
        <v>252</v>
      </c>
      <c r="L241" s="1" t="b">
        <f aca="false">NOT(TRUE())</f>
        <v>0</v>
      </c>
    </row>
    <row r="242" customFormat="false" ht="12.8" hidden="false" customHeight="false" outlineLevel="0" collapsed="false">
      <c r="K242" s="0" t="s">
        <v>253</v>
      </c>
      <c r="L242" s="0" t="str">
        <f aca="false">TRUE()&amp;""</f>
        <v>1</v>
      </c>
    </row>
    <row r="243" customFormat="false" ht="12.8" hidden="false" customHeight="false" outlineLevel="0" collapsed="false">
      <c r="K243" s="0" t="s">
        <v>254</v>
      </c>
      <c r="L243" s="0" t="e">
        <f aca="false">TRUE()+H1</f>
        <v>#DIV/0!</v>
      </c>
    </row>
    <row r="244" customFormat="false" ht="12.8" hidden="false" customHeight="false" outlineLevel="0" collapsed="false">
      <c r="K244" s="0" t="s">
        <v>255</v>
      </c>
      <c r="L244" s="0" t="n">
        <f aca="false">SUM(TRUE(),TRUE())</f>
        <v>2</v>
      </c>
    </row>
    <row r="245" customFormat="false" ht="12.8" hidden="false" customHeight="false" outlineLevel="0" collapsed="false">
      <c r="K245" s="0" t="s">
        <v>256</v>
      </c>
      <c r="L245" s="1" t="b">
        <f aca="false">FALSE()</f>
        <v>0</v>
      </c>
    </row>
    <row r="246" customFormat="false" ht="12.8" hidden="false" customHeight="false" outlineLevel="0" collapsed="false">
      <c r="K246" s="0" t="s">
        <v>257</v>
      </c>
      <c r="L246" s="0" t="n">
        <f aca="false">FALSE()+1</f>
        <v>1</v>
      </c>
    </row>
    <row r="247" customFormat="false" ht="12.8" hidden="false" customHeight="false" outlineLevel="0" collapsed="false">
      <c r="K247" s="0" t="s">
        <v>258</v>
      </c>
      <c r="L247" s="1" t="b">
        <f aca="false">OR(FALSE(),FALSE())</f>
        <v>0</v>
      </c>
    </row>
    <row r="248" customFormat="false" ht="12.8" hidden="false" customHeight="false" outlineLevel="0" collapsed="false">
      <c r="K248" s="0" t="s">
        <v>259</v>
      </c>
      <c r="L248" s="0" t="str">
        <f aca="false">IF(FALSE(),"y","n")</f>
        <v>n</v>
      </c>
    </row>
    <row r="249" customFormat="false" ht="12.8" hidden="false" customHeight="false" outlineLevel="0" collapsed="false">
      <c r="K249" s="0" t="s">
        <v>260</v>
      </c>
      <c r="L249" s="1" t="b">
        <f aca="false">NOT(FALSE())</f>
        <v>1</v>
      </c>
    </row>
    <row r="250" customFormat="false" ht="12.8" hidden="false" customHeight="false" outlineLevel="0" collapsed="false">
      <c r="K250" s="0" t="s">
        <v>261</v>
      </c>
      <c r="L250" s="0" t="str">
        <f aca="false">FALSE()&amp;""</f>
        <v>0</v>
      </c>
    </row>
    <row r="251" customFormat="false" ht="12.8" hidden="false" customHeight="false" outlineLevel="0" collapsed="false">
      <c r="K251" s="0" t="s">
        <v>262</v>
      </c>
      <c r="L251" s="1" t="b">
        <f aca="false">FALSE()=D2</f>
        <v>1</v>
      </c>
    </row>
    <row r="252" customFormat="false" ht="12.8" hidden="false" customHeight="false" outlineLevel="0" collapsed="false">
      <c r="K252" s="0" t="s">
        <v>263</v>
      </c>
      <c r="L252" s="0" t="e">
        <f aca="false">FALSE()*H1</f>
        <v>#DIV/0!</v>
      </c>
    </row>
    <row r="253" customFormat="false" ht="12.8" hidden="false" customHeight="false" outlineLevel="0" collapsed="false">
      <c r="K253" s="0" t="s">
        <v>264</v>
      </c>
      <c r="L253" s="1" t="b">
        <f aca="false">ISBLANK(D4)</f>
        <v>1</v>
      </c>
    </row>
    <row r="254" customFormat="false" ht="12.8" hidden="false" customHeight="false" outlineLevel="0" collapsed="false">
      <c r="K254" s="0" t="s">
        <v>265</v>
      </c>
      <c r="L254" s="1" t="b">
        <f aca="false">ISBLANK(D3)</f>
        <v>0</v>
      </c>
    </row>
    <row r="255" customFormat="false" ht="12.8" hidden="false" customHeight="false" outlineLevel="0" collapsed="false">
      <c r="K255" s="0" t="s">
        <v>266</v>
      </c>
      <c r="L255" s="1" t="b">
        <f aca="false">ISBLANK(A1)</f>
        <v>0</v>
      </c>
    </row>
    <row r="256" customFormat="false" ht="12.8" hidden="false" customHeight="false" outlineLevel="0" collapsed="false">
      <c r="K256" s="0" t="s">
        <v>267</v>
      </c>
      <c r="L256" s="1" t="b">
        <f aca="false">ISBLANK(Z99)</f>
        <v>1</v>
      </c>
    </row>
    <row r="257" customFormat="false" ht="12.8" hidden="false" customHeight="false" outlineLevel="0" collapsed="false">
      <c r="K257" s="0" t="s">
        <v>268</v>
      </c>
      <c r="L257" s="1" t="b">
        <f aca="false">ISBLANK(H1)</f>
        <v>0</v>
      </c>
    </row>
    <row r="258" customFormat="false" ht="12.8" hidden="false" customHeight="false" outlineLevel="0" collapsed="false">
      <c r="K258" s="0" t="s">
        <v>269</v>
      </c>
      <c r="L258" s="1" t="b">
        <f aca="false">ISBLANK("")</f>
        <v>0</v>
      </c>
    </row>
    <row r="259" customFormat="false" ht="12.8" hidden="false" customHeight="false" outlineLevel="0" collapsed="false">
      <c r="K259" s="0" t="s">
        <v>270</v>
      </c>
      <c r="L259" s="1" t="b">
        <f aca="false">ISBLANK(D5)</f>
        <v>0</v>
      </c>
    </row>
    <row r="260" customFormat="false" ht="12.8" hidden="false" customHeight="false" outlineLevel="0" collapsed="false">
      <c r="K260" s="0" t="s">
        <v>271</v>
      </c>
      <c r="L260" s="1" t="b">
        <f aca="false">ISBLANK(Other!Z1)</f>
        <v>1</v>
      </c>
    </row>
    <row r="261" customFormat="false" ht="12.8" hidden="false" customHeight="false" outlineLevel="0" collapsed="false">
      <c r="K261" s="0" t="s">
        <v>272</v>
      </c>
      <c r="L261" s="1" t="b">
        <f aca="false">ISNUMBER(A1)</f>
        <v>1</v>
      </c>
    </row>
    <row r="262" customFormat="false" ht="12.8" hidden="false" customHeight="false" outlineLevel="0" collapsed="false">
      <c r="K262" s="0" t="s">
        <v>273</v>
      </c>
      <c r="L262" s="1" t="b">
        <f aca="false">ISNUMBER(D5)</f>
        <v>0</v>
      </c>
    </row>
    <row r="263" customFormat="false" ht="12.8" hidden="false" customHeight="false" outlineLevel="0" collapsed="false">
      <c r="K263" s="0" t="s">
        <v>274</v>
      </c>
      <c r="L263" s="1" t="b">
        <f aca="false">ISNUMBER("1")</f>
        <v>0</v>
      </c>
    </row>
    <row r="264" customFormat="false" ht="12.8" hidden="false" customHeight="false" outlineLevel="0" collapsed="false">
      <c r="K264" s="0" t="s">
        <v>275</v>
      </c>
      <c r="L264" s="1" t="b">
        <f aca="false">ISNUMBER(D4)</f>
        <v>0</v>
      </c>
    </row>
    <row r="265" customFormat="false" ht="12.8" hidden="false" customHeight="false" outlineLevel="0" collapsed="false">
      <c r="K265" s="0" t="s">
        <v>276</v>
      </c>
      <c r="L265" s="1" t="b">
        <f aca="false">ISNUMBER(E1)</f>
        <v>1</v>
      </c>
    </row>
    <row r="266" customFormat="false" ht="12.8" hidden="false" customHeight="false" outlineLevel="0" collapsed="false">
      <c r="K266" s="0" t="s">
        <v>277</v>
      </c>
      <c r="L266" s="1" t="b">
        <f aca="false">ISNUMBER(D1)</f>
        <v>1</v>
      </c>
    </row>
    <row r="267" customFormat="false" ht="12.8" hidden="false" customHeight="false" outlineLevel="0" collapsed="false">
      <c r="K267" s="0" t="s">
        <v>278</v>
      </c>
      <c r="L267" s="1" t="b">
        <f aca="false">ISNUMBER(H1)</f>
        <v>0</v>
      </c>
    </row>
    <row r="268" customFormat="false" ht="12.8" hidden="false" customHeight="false" outlineLevel="0" collapsed="false">
      <c r="K268" s="0" t="s">
        <v>279</v>
      </c>
      <c r="L268" s="1" t="b">
        <f aca="false">ISNUMBER(--D5)</f>
        <v>1</v>
      </c>
    </row>
    <row r="269" customFormat="false" ht="12.8" hidden="false" customHeight="false" outlineLevel="0" collapsed="false">
      <c r="K269" s="0" t="s">
        <v>280</v>
      </c>
      <c r="L269" s="1" t="b">
        <f aca="false">ISNUMBER(A1)</f>
        <v>1</v>
      </c>
    </row>
    <row r="270" customFormat="false" ht="12.8" hidden="false" customHeight="false" outlineLevel="0" collapsed="false">
      <c r="K270" s="0" t="s">
        <v>281</v>
      </c>
      <c r="L270" s="1" t="b">
        <f aca="false">ISTEXT(B1)</f>
        <v>1</v>
      </c>
    </row>
    <row r="271" customFormat="false" ht="12.8" hidden="false" customHeight="false" outlineLevel="0" collapsed="false">
      <c r="K271" s="0" t="s">
        <v>282</v>
      </c>
      <c r="L271" s="1" t="b">
        <f aca="false">ISTEXT(D5)</f>
        <v>1</v>
      </c>
    </row>
    <row r="272" customFormat="false" ht="12.8" hidden="false" customHeight="false" outlineLevel="0" collapsed="false">
      <c r="K272" s="0" t="s">
        <v>283</v>
      </c>
      <c r="L272" s="1" t="b">
        <f aca="false">ISTEXT(D3)</f>
        <v>1</v>
      </c>
    </row>
    <row r="273" customFormat="false" ht="12.8" hidden="false" customHeight="false" outlineLevel="0" collapsed="false">
      <c r="K273" s="0" t="s">
        <v>284</v>
      </c>
      <c r="L273" s="1" t="b">
        <f aca="false">ISTEXT(D4)</f>
        <v>0</v>
      </c>
    </row>
    <row r="274" customFormat="false" ht="12.8" hidden="false" customHeight="false" outlineLevel="0" collapsed="false">
      <c r="K274" s="0" t="s">
        <v>285</v>
      </c>
      <c r="L274" s="1" t="b">
        <f aca="false">ISTEXT(A1)</f>
        <v>0</v>
      </c>
    </row>
    <row r="275" customFormat="false" ht="12.8" hidden="false" customHeight="false" outlineLevel="0" collapsed="false">
      <c r="K275" s="0" t="s">
        <v>286</v>
      </c>
      <c r="L275" s="1" t="b">
        <f aca="false">ISTEXT(H1)</f>
        <v>0</v>
      </c>
    </row>
    <row r="276" customFormat="false" ht="12.8" hidden="false" customHeight="false" outlineLevel="0" collapsed="false">
      <c r="K276" s="0" t="s">
        <v>287</v>
      </c>
      <c r="L276" s="1" t="b">
        <f aca="false">ISTEXT("")</f>
        <v>1</v>
      </c>
    </row>
    <row r="277" customFormat="false" ht="12.8" hidden="false" customHeight="false" outlineLevel="0" collapsed="false">
      <c r="K277" s="0" t="s">
        <v>288</v>
      </c>
      <c r="L277" s="1" t="b">
        <f aca="false">ISTEXT(D1)</f>
        <v>0</v>
      </c>
    </row>
    <row r="278" customFormat="false" ht="12.8" hidden="false" customHeight="false" outlineLevel="0" collapsed="false">
      <c r="K278" s="0" t="s">
        <v>289</v>
      </c>
      <c r="L278" s="1" t="b">
        <f aca="false">ISTEXT(A1&amp;"")</f>
        <v>1</v>
      </c>
    </row>
    <row r="279" customFormat="false" ht="12.8" hidden="false" customHeight="false" outlineLevel="0" collapsed="false">
      <c r="K279" s="0" t="s">
        <v>290</v>
      </c>
      <c r="L279" s="1" t="b">
        <f aca="false">ISERROR(H1)</f>
        <v>1</v>
      </c>
    </row>
    <row r="280" customFormat="false" ht="12.8" hidden="false" customHeight="false" outlineLevel="0" collapsed="false">
      <c r="K280" s="0" t="s">
        <v>291</v>
      </c>
      <c r="L280" s="1" t="b">
        <f aca="false">ISERROR(H2)</f>
        <v>1</v>
      </c>
    </row>
    <row r="281" customFormat="false" ht="12.8" hidden="false" customHeight="false" outlineLevel="0" collapsed="false">
      <c r="K281" s="0" t="s">
        <v>292</v>
      </c>
      <c r="L281" s="1" t="b">
        <f aca="false">ISERROR(A1)</f>
        <v>0</v>
      </c>
    </row>
    <row r="282" customFormat="false" ht="12.8" hidden="false" customHeight="false" outlineLevel="0" collapsed="false">
      <c r="K282" s="0" t="s">
        <v>293</v>
      </c>
      <c r="L282" s="1" t="b">
        <f aca="false">ISERROR(1/0)</f>
        <v>1</v>
      </c>
    </row>
    <row r="283" customFormat="false" ht="12.8" hidden="false" customHeight="false" outlineLevel="0" collapsed="false">
      <c r="K283" s="0" t="s">
        <v>294</v>
      </c>
      <c r="L283" s="1" t="b">
        <f aca="false">ISERROR(D4)</f>
        <v>0</v>
      </c>
    </row>
    <row r="284" customFormat="false" ht="12.8" hidden="false" customHeight="false" outlineLevel="0" collapsed="false">
      <c r="K284" s="0" t="s">
        <v>295</v>
      </c>
      <c r="L284" s="1" t="b">
        <f aca="false">ISERROR(VALUE("x"))</f>
        <v>1</v>
      </c>
    </row>
    <row r="285" customFormat="false" ht="12.8" hidden="false" customHeight="false" outlineLevel="0" collapsed="false">
      <c r="K285" s="0" t="s">
        <v>296</v>
      </c>
      <c r="L285" s="1" t="b">
        <f aca="false">ISERROR(NA())</f>
        <v>1</v>
      </c>
    </row>
    <row r="286" customFormat="false" ht="12.8" hidden="false" customHeight="false" outlineLevel="0" collapsed="false">
      <c r="K286" s="0" t="s">
        <v>297</v>
      </c>
      <c r="L286" s="1" t="b">
        <f aca="false">ISERROR(B1)</f>
        <v>0</v>
      </c>
    </row>
    <row r="287" customFormat="false" ht="12.8" hidden="false" customHeight="false" outlineLevel="0" collapsed="false">
      <c r="K287" s="0" t="s">
        <v>298</v>
      </c>
      <c r="L287" s="1" t="b">
        <f aca="false">ISERROR(SQRT(-1))</f>
        <v>1</v>
      </c>
    </row>
    <row r="288" customFormat="false" ht="12.8" hidden="false" customHeight="false" outlineLevel="0" collapsed="false">
      <c r="K288" s="0" t="s">
        <v>299</v>
      </c>
      <c r="L288" s="1" t="b">
        <f aca="false">ISNA(H2)</f>
        <v>1</v>
      </c>
    </row>
    <row r="289" customFormat="false" ht="12.8" hidden="false" customHeight="false" outlineLevel="0" collapsed="false">
      <c r="K289" s="0" t="s">
        <v>300</v>
      </c>
      <c r="L289" s="1" t="b">
        <f aca="false">ISNA(H1)</f>
        <v>0</v>
      </c>
    </row>
    <row r="290" customFormat="false" ht="12.8" hidden="false" customHeight="false" outlineLevel="0" collapsed="false">
      <c r="K290" s="0" t="s">
        <v>301</v>
      </c>
      <c r="L290" s="1" t="b">
        <f aca="false">ISNA(NA())</f>
        <v>1</v>
      </c>
    </row>
    <row r="291" customFormat="false" ht="12.8" hidden="false" customHeight="false" outlineLevel="0" collapsed="false">
      <c r="K291" s="0" t="s">
        <v>302</v>
      </c>
      <c r="L291" s="1" t="b">
        <f aca="false">ISNA(A1)</f>
        <v>0</v>
      </c>
    </row>
    <row r="292" customFormat="false" ht="12.8" hidden="false" customHeight="false" outlineLevel="0" collapsed="false">
      <c r="K292" s="0" t="s">
        <v>303</v>
      </c>
      <c r="L292" s="1" t="b">
        <f aca="false">ISNA(VLOOKUP(999,F1:G4,2,FALSE()))</f>
        <v>1</v>
      </c>
    </row>
    <row r="293" customFormat="false" ht="12.8" hidden="false" customHeight="false" outlineLevel="0" collapsed="false">
      <c r="K293" s="0" t="s">
        <v>304</v>
      </c>
      <c r="L293" s="1" t="b">
        <f aca="false">ISNA(1/0)</f>
        <v>0</v>
      </c>
    </row>
    <row r="294" customFormat="false" ht="12.8" hidden="false" customHeight="false" outlineLevel="0" collapsed="false">
      <c r="K294" s="0" t="s">
        <v>305</v>
      </c>
      <c r="L294" s="1" t="b">
        <f aca="false">ISNA(D4)</f>
        <v>0</v>
      </c>
    </row>
    <row r="295" customFormat="false" ht="12.8" hidden="false" customHeight="false" outlineLevel="0" collapsed="false">
      <c r="K295" s="0" t="s">
        <v>306</v>
      </c>
      <c r="L295" s="1" t="b">
        <f aca="false">ISNA(MATCH("zzz",B1:B6,0))</f>
        <v>1</v>
      </c>
    </row>
    <row r="296" customFormat="false" ht="12.8" hidden="false" customHeight="false" outlineLevel="0" collapsed="false">
      <c r="K296" s="0" t="s">
        <v>307</v>
      </c>
      <c r="L296" s="0" t="e">
        <f aca="false">NA()</f>
        <v>#N/A</v>
      </c>
    </row>
    <row r="297" customFormat="false" ht="12.8" hidden="false" customHeight="false" outlineLevel="0" collapsed="false">
      <c r="K297" s="0" t="s">
        <v>301</v>
      </c>
      <c r="L297" s="1" t="b">
        <f aca="false">ISNA(NA())</f>
        <v>1</v>
      </c>
    </row>
    <row r="298" customFormat="false" ht="12.8" hidden="false" customHeight="false" outlineLevel="0" collapsed="false">
      <c r="K298" s="0" t="s">
        <v>308</v>
      </c>
      <c r="L298" s="0" t="n">
        <f aca="false">IFERROR(NA(),0)</f>
        <v>0</v>
      </c>
    </row>
    <row r="299" customFormat="false" ht="12.8" hidden="false" customHeight="false" outlineLevel="0" collapsed="false">
      <c r="K299" s="0" t="s">
        <v>309</v>
      </c>
      <c r="L299" s="0" t="e">
        <f aca="false">NA()+1</f>
        <v>#N/A</v>
      </c>
    </row>
    <row r="300" customFormat="false" ht="12.8" hidden="false" customHeight="false" outlineLevel="0" collapsed="false">
      <c r="K300" s="0" t="s">
        <v>310</v>
      </c>
      <c r="L300" s="0" t="e">
        <f aca="false">SUM(1,NA())</f>
        <v>#N/A</v>
      </c>
    </row>
    <row r="301" customFormat="false" ht="12.8" hidden="false" customHeight="false" outlineLevel="0" collapsed="false">
      <c r="K301" s="0" t="s">
        <v>311</v>
      </c>
      <c r="L301" s="0" t="e">
        <f aca="false">IF(TRUE(),NA(),1)</f>
        <v>#N/A</v>
      </c>
    </row>
    <row r="302" customFormat="false" ht="12.8" hidden="false" customHeight="false" outlineLevel="0" collapsed="false">
      <c r="K302" s="0" t="s">
        <v>296</v>
      </c>
      <c r="L302" s="1" t="b">
        <f aca="false">ISERROR(NA())</f>
        <v>1</v>
      </c>
    </row>
    <row r="303" customFormat="false" ht="12.8" hidden="false" customHeight="false" outlineLevel="0" collapsed="false">
      <c r="K303" s="0" t="s">
        <v>312</v>
      </c>
      <c r="L303" s="0" t="e">
        <f aca="false">H2</f>
        <v>#N/A</v>
      </c>
    </row>
    <row r="304" customFormat="false" ht="12.8" hidden="false" customHeight="false" outlineLevel="0" collapsed="false">
      <c r="K304" s="0" t="s">
        <v>313</v>
      </c>
      <c r="L304" s="0" t="e">
        <f aca="false">NA()&amp;"x"</f>
        <v>#N/A</v>
      </c>
    </row>
    <row r="305" customFormat="false" ht="12.8" hidden="false" customHeight="false" outlineLevel="0" collapsed="false">
      <c r="K305" s="0" t="s">
        <v>314</v>
      </c>
      <c r="L305" s="0" t="e">
        <f aca="false">NA()+H1</f>
        <v>#N/A</v>
      </c>
    </row>
    <row r="306" customFormat="false" ht="12.8" hidden="false" customHeight="false" outlineLevel="0" collapsed="false">
      <c r="K306" s="0" t="s">
        <v>315</v>
      </c>
      <c r="L306" s="0" t="str">
        <f aca="false">_xlfn.CONCAT("a","b")</f>
        <v>ab</v>
      </c>
    </row>
    <row r="307" customFormat="false" ht="12.8" hidden="false" customHeight="false" outlineLevel="0" collapsed="false">
      <c r="K307" s="0" t="s">
        <v>316</v>
      </c>
      <c r="L307" s="0" t="str">
        <f aca="false">_xlfn.CONCAT(B1:B3)</f>
        <v>applebananacherry</v>
      </c>
    </row>
    <row r="308" customFormat="false" ht="12.8" hidden="false" customHeight="false" outlineLevel="0" collapsed="false">
      <c r="K308" s="0" t="s">
        <v>317</v>
      </c>
      <c r="L308" s="0" t="str">
        <f aca="false">_xlfn.CONCAT(A1,B1)</f>
        <v>1apple</v>
      </c>
    </row>
    <row r="309" customFormat="false" ht="12.8" hidden="false" customHeight="false" outlineLevel="0" collapsed="false">
      <c r="K309" s="0" t="s">
        <v>318</v>
      </c>
      <c r="L309" s="0" t="str">
        <f aca="false">_xlfn.CONCAT(1,TRUE())</f>
        <v>11</v>
      </c>
    </row>
    <row r="310" customFormat="false" ht="12.8" hidden="false" customHeight="false" outlineLevel="0" collapsed="false">
      <c r="K310" s="0" t="s">
        <v>319</v>
      </c>
      <c r="L310" s="0" t="str">
        <f aca="false">_xlfn.CONCAT(D4,"x")</f>
        <v>x</v>
      </c>
    </row>
    <row r="311" customFormat="false" ht="12.8" hidden="false" customHeight="false" outlineLevel="0" collapsed="false">
      <c r="K311" s="0" t="s">
        <v>320</v>
      </c>
      <c r="L311" s="0" t="e">
        <f aca="false">_xlfn.CONCAT(H1,"x")</f>
        <v>#DIV/0!</v>
      </c>
    </row>
    <row r="312" customFormat="false" ht="12.8" hidden="false" customHeight="false" outlineLevel="0" collapsed="false">
      <c r="K312" s="0" t="s">
        <v>321</v>
      </c>
      <c r="L312" s="0" t="str">
        <f aca="false">_xlfn.CONCAT(A1:A3,"-")</f>
        <v>123-</v>
      </c>
    </row>
    <row r="313" customFormat="false" ht="12.8" hidden="false" customHeight="false" outlineLevel="0" collapsed="false">
      <c r="K313" s="0" t="s">
        <v>322</v>
      </c>
      <c r="L313" s="0" t="str">
        <f aca="false">_xlfn.CONCAT(D1:D3)</f>
        <v>10</v>
      </c>
    </row>
    <row r="314" customFormat="false" ht="12.8" hidden="false" customHeight="false" outlineLevel="0" collapsed="false">
      <c r="K314" s="0" t="s">
        <v>323</v>
      </c>
      <c r="L314" s="0" t="str">
        <f aca="false">_xlfn.CONCAT(C1:C2)</f>
        <v>10.5-2</v>
      </c>
    </row>
    <row r="315" customFormat="false" ht="12.8" hidden="false" customHeight="false" outlineLevel="0" collapsed="false">
      <c r="K315" s="0" t="s">
        <v>324</v>
      </c>
      <c r="L315" s="0" t="str">
        <f aca="false">CONCATENATE("a","b","c")</f>
        <v>abc</v>
      </c>
    </row>
    <row r="316" customFormat="false" ht="12.8" hidden="false" customHeight="false" outlineLevel="0" collapsed="false">
      <c r="K316" s="0" t="s">
        <v>325</v>
      </c>
      <c r="L316" s="0" t="str">
        <f aca="false">CONCATENATE(B1," ",B2)</f>
        <v>apple banana</v>
      </c>
    </row>
    <row r="317" customFormat="false" ht="12.8" hidden="false" customHeight="false" outlineLevel="0" collapsed="false">
      <c r="K317" s="0" t="s">
        <v>326</v>
      </c>
      <c r="L317" s="0" t="str">
        <f aca="false">CONCATENATE(A1,A2)</f>
        <v>12</v>
      </c>
    </row>
    <row r="318" customFormat="false" ht="12.8" hidden="false" customHeight="false" outlineLevel="0" collapsed="false">
      <c r="K318" s="0" t="s">
        <v>327</v>
      </c>
      <c r="L318" s="0" t="str">
        <f aca="false">CONCATENATE(D4)</f>
        <v/>
      </c>
    </row>
    <row r="319" customFormat="false" ht="12.8" hidden="false" customHeight="false" outlineLevel="0" collapsed="false">
      <c r="K319" s="0" t="s">
        <v>328</v>
      </c>
      <c r="L319" s="0" t="e">
        <f aca="false">CONCATENATE(H1,"x")</f>
        <v>#DIV/0!</v>
      </c>
    </row>
    <row r="320" customFormat="false" ht="12.8" hidden="false" customHeight="false" outlineLevel="0" collapsed="false">
      <c r="K320" s="0" t="s">
        <v>329</v>
      </c>
      <c r="L320" s="0" t="str">
        <f aca="false">CONCATENATE(C1,"%")</f>
        <v>10.5%</v>
      </c>
    </row>
    <row r="321" customFormat="false" ht="12.8" hidden="false" customHeight="false" outlineLevel="0" collapsed="false">
      <c r="K321" s="0" t="s">
        <v>330</v>
      </c>
      <c r="L321" s="0" t="str">
        <f aca="false">CONCATENATE(1/4)</f>
        <v>0.25</v>
      </c>
    </row>
    <row r="322" customFormat="false" ht="12.8" hidden="false" customHeight="false" outlineLevel="0" collapsed="false">
      <c r="K322" s="0" t="s">
        <v>331</v>
      </c>
      <c r="L322" s="0" t="str">
        <f aca="false">CONCATENATE(D1,D2)</f>
        <v>10</v>
      </c>
    </row>
    <row r="323" customFormat="false" ht="12.8" hidden="false" customHeight="false" outlineLevel="0" collapsed="false">
      <c r="K323" s="0" t="s">
        <v>332</v>
      </c>
      <c r="L323" s="0" t="str">
        <f aca="false">LEFT("hello",2)</f>
        <v>he</v>
      </c>
    </row>
    <row r="324" customFormat="false" ht="12.8" hidden="false" customHeight="false" outlineLevel="0" collapsed="false">
      <c r="K324" s="0" t="s">
        <v>333</v>
      </c>
      <c r="L324" s="0" t="str">
        <f aca="false">LEFT("hello")</f>
        <v>h</v>
      </c>
    </row>
    <row r="325" customFormat="false" ht="12.8" hidden="false" customHeight="false" outlineLevel="0" collapsed="false">
      <c r="K325" s="0" t="s">
        <v>334</v>
      </c>
      <c r="L325" s="0" t="str">
        <f aca="false">LEFT(B1,3)</f>
        <v>app</v>
      </c>
    </row>
    <row r="326" customFormat="false" ht="12.8" hidden="false" customHeight="false" outlineLevel="0" collapsed="false">
      <c r="K326" s="0" t="s">
        <v>335</v>
      </c>
      <c r="L326" s="0" t="str">
        <f aca="false">LEFT(B1,0)</f>
        <v/>
      </c>
    </row>
    <row r="327" customFormat="false" ht="12.8" hidden="false" customHeight="false" outlineLevel="0" collapsed="false">
      <c r="K327" s="0" t="s">
        <v>336</v>
      </c>
      <c r="L327" s="0" t="str">
        <f aca="false">LEFT(B1,100)</f>
        <v>apple</v>
      </c>
    </row>
    <row r="328" customFormat="false" ht="12.8" hidden="false" customHeight="false" outlineLevel="0" collapsed="false">
      <c r="K328" s="0" t="s">
        <v>337</v>
      </c>
      <c r="L328" s="0" t="str">
        <f aca="false">LEFT(A4,1)</f>
        <v>4</v>
      </c>
    </row>
    <row r="329" customFormat="false" ht="12.8" hidden="false" customHeight="false" outlineLevel="0" collapsed="false">
      <c r="K329" s="0" t="s">
        <v>338</v>
      </c>
      <c r="L329" s="0" t="str">
        <f aca="false">LEFT(C1,2)</f>
        <v>10</v>
      </c>
    </row>
    <row r="330" customFormat="false" ht="12.8" hidden="false" customHeight="false" outlineLevel="0" collapsed="false">
      <c r="K330" s="0" t="s">
        <v>339</v>
      </c>
      <c r="L330" s="0" t="e">
        <f aca="false">LEFT(H1,1)</f>
        <v>#DIV/0!</v>
      </c>
    </row>
    <row r="331" customFormat="false" ht="12.8" hidden="false" customHeight="false" outlineLevel="0" collapsed="false">
      <c r="K331" s="0" t="s">
        <v>340</v>
      </c>
      <c r="L331" s="0" t="e">
        <f aca="false">LEFT(B1,-1)</f>
        <v>#VALUE!</v>
      </c>
    </row>
    <row r="332" customFormat="false" ht="12.8" hidden="false" customHeight="false" outlineLevel="0" collapsed="false">
      <c r="K332" s="0" t="s">
        <v>341</v>
      </c>
      <c r="L332" s="0" t="str">
        <f aca="false">LEFT(D4,2)</f>
        <v/>
      </c>
    </row>
    <row r="333" customFormat="false" ht="12.8" hidden="false" customHeight="false" outlineLevel="0" collapsed="false">
      <c r="K333" s="0" t="s">
        <v>342</v>
      </c>
      <c r="L333" s="0" t="str">
        <f aca="false">LEFT(D1,2)</f>
        <v>1</v>
      </c>
    </row>
    <row r="334" customFormat="false" ht="12.8" hidden="false" customHeight="false" outlineLevel="0" collapsed="false">
      <c r="K334" s="0" t="s">
        <v>343</v>
      </c>
      <c r="L334" s="0" t="str">
        <f aca="false">LEFT(E1,3)</f>
        <v>453</v>
      </c>
    </row>
    <row r="335" customFormat="false" ht="12.8" hidden="false" customHeight="false" outlineLevel="0" collapsed="false">
      <c r="K335" s="0" t="s">
        <v>344</v>
      </c>
      <c r="L335" s="0" t="str">
        <f aca="false">LEFT("abc",1.9)</f>
        <v>a</v>
      </c>
    </row>
    <row r="336" customFormat="false" ht="12.8" hidden="false" customHeight="false" outlineLevel="0" collapsed="false">
      <c r="K336" s="0" t="s">
        <v>345</v>
      </c>
      <c r="L336" s="0" t="str">
        <f aca="false">RIGHT("hello",2)</f>
        <v>lo</v>
      </c>
    </row>
    <row r="337" customFormat="false" ht="12.8" hidden="false" customHeight="false" outlineLevel="0" collapsed="false">
      <c r="K337" s="0" t="s">
        <v>346</v>
      </c>
      <c r="L337" s="0" t="str">
        <f aca="false">RIGHT("hello")</f>
        <v>o</v>
      </c>
    </row>
    <row r="338" customFormat="false" ht="12.8" hidden="false" customHeight="false" outlineLevel="0" collapsed="false">
      <c r="K338" s="0" t="s">
        <v>347</v>
      </c>
      <c r="L338" s="0" t="str">
        <f aca="false">RIGHT(B5,3)</f>
        <v>rry</v>
      </c>
    </row>
    <row r="339" customFormat="false" ht="12.8" hidden="false" customHeight="false" outlineLevel="0" collapsed="false">
      <c r="K339" s="0" t="s">
        <v>348</v>
      </c>
      <c r="L339" s="0" t="str">
        <f aca="false">RIGHT(B1,0)</f>
        <v/>
      </c>
    </row>
    <row r="340" customFormat="false" ht="12.8" hidden="false" customHeight="false" outlineLevel="0" collapsed="false">
      <c r="K340" s="0" t="s">
        <v>349</v>
      </c>
      <c r="L340" s="0" t="str">
        <f aca="false">RIGHT(B1,99)</f>
        <v>apple</v>
      </c>
    </row>
    <row r="341" customFormat="false" ht="12.8" hidden="false" customHeight="false" outlineLevel="0" collapsed="false">
      <c r="K341" s="0" t="s">
        <v>350</v>
      </c>
      <c r="L341" s="0" t="str">
        <f aca="false">RIGHT(C1,1)</f>
        <v>5</v>
      </c>
    </row>
    <row r="342" customFormat="false" ht="12.8" hidden="false" customHeight="false" outlineLevel="0" collapsed="false">
      <c r="K342" s="0" t="s">
        <v>351</v>
      </c>
      <c r="L342" s="0" t="e">
        <f aca="false">RIGHT(H2,1)</f>
        <v>#N/A</v>
      </c>
    </row>
    <row r="343" customFormat="false" ht="12.8" hidden="false" customHeight="false" outlineLevel="0" collapsed="false">
      <c r="K343" s="0" t="s">
        <v>352</v>
      </c>
      <c r="L343" s="0" t="e">
        <f aca="false">RIGHT(B1,-1)</f>
        <v>#VALUE!</v>
      </c>
    </row>
    <row r="344" customFormat="false" ht="12.8" hidden="false" customHeight="false" outlineLevel="0" collapsed="false">
      <c r="K344" s="0" t="s">
        <v>353</v>
      </c>
      <c r="L344" s="0" t="str">
        <f aca="false">RIGHT(D4,1)</f>
        <v/>
      </c>
    </row>
    <row r="345" customFormat="false" ht="12.8" hidden="false" customHeight="false" outlineLevel="0" collapsed="false">
      <c r="K345" s="0" t="s">
        <v>354</v>
      </c>
      <c r="L345" s="0" t="str">
        <f aca="false">RIGHT(D6,3)</f>
        <v>d  </v>
      </c>
    </row>
    <row r="346" customFormat="false" ht="12.8" hidden="false" customHeight="false" outlineLevel="0" collapsed="false">
      <c r="K346" s="0" t="s">
        <v>355</v>
      </c>
      <c r="L346" s="0" t="str">
        <f aca="false">MID("hello",2,3)</f>
        <v>ell</v>
      </c>
    </row>
    <row r="347" customFormat="false" ht="12.8" hidden="false" customHeight="false" outlineLevel="0" collapsed="false">
      <c r="K347" s="0" t="s">
        <v>356</v>
      </c>
      <c r="L347" s="0" t="str">
        <f aca="false">MID(B1,1,1)</f>
        <v>a</v>
      </c>
    </row>
    <row r="348" customFormat="false" ht="12.8" hidden="false" customHeight="false" outlineLevel="0" collapsed="false">
      <c r="K348" s="0" t="s">
        <v>357</v>
      </c>
      <c r="L348" s="0" t="str">
        <f aca="false">MID(B1,10,2)</f>
        <v/>
      </c>
    </row>
    <row r="349" customFormat="false" ht="12.8" hidden="false" customHeight="false" outlineLevel="0" collapsed="false">
      <c r="K349" s="0" t="s">
        <v>358</v>
      </c>
      <c r="L349" s="0" t="e">
        <f aca="false">MID(B1,0,2)</f>
        <v>#VALUE!</v>
      </c>
    </row>
    <row r="350" customFormat="false" ht="12.8" hidden="false" customHeight="false" outlineLevel="0" collapsed="false">
      <c r="K350" s="0" t="s">
        <v>359</v>
      </c>
      <c r="L350" s="0" t="str">
        <f aca="false">MID(B5,3,100)</f>
        <v>derberry</v>
      </c>
    </row>
    <row r="351" customFormat="false" ht="12.8" hidden="false" customHeight="false" outlineLevel="0" collapsed="false">
      <c r="K351" s="0" t="s">
        <v>360</v>
      </c>
      <c r="L351" s="0" t="str">
        <f aca="false">MID(A1,1,1)</f>
        <v>1</v>
      </c>
    </row>
    <row r="352" customFormat="false" ht="12.8" hidden="false" customHeight="false" outlineLevel="0" collapsed="false">
      <c r="K352" s="0" t="s">
        <v>361</v>
      </c>
      <c r="L352" s="0" t="e">
        <f aca="false">MID(H1,1,1)</f>
        <v>#DIV/0!</v>
      </c>
    </row>
    <row r="353" customFormat="false" ht="12.8" hidden="false" customHeight="false" outlineLevel="0" collapsed="false">
      <c r="K353" s="0" t="s">
        <v>362</v>
      </c>
      <c r="L353" s="0" t="e">
        <f aca="false">MID(B1,2,-1)</f>
        <v>#VALUE!</v>
      </c>
    </row>
    <row r="354" customFormat="false" ht="12.8" hidden="false" customHeight="false" outlineLevel="0" collapsed="false">
      <c r="K354" s="0" t="s">
        <v>363</v>
      </c>
      <c r="L354" s="0" t="str">
        <f aca="false">MID(C1,2,3)</f>
        <v>0.5</v>
      </c>
    </row>
    <row r="355" customFormat="false" ht="12.8" hidden="false" customHeight="false" outlineLevel="0" collapsed="false">
      <c r="K355" s="0" t="s">
        <v>364</v>
      </c>
      <c r="L355" s="0" t="str">
        <f aca="false">MID(B2,2,0)</f>
        <v/>
      </c>
    </row>
    <row r="356" customFormat="false" ht="12.8" hidden="false" customHeight="false" outlineLevel="0" collapsed="false">
      <c r="K356" s="0" t="s">
        <v>365</v>
      </c>
      <c r="L356" s="0" t="str">
        <f aca="false">MID(D4,1,5)</f>
        <v/>
      </c>
    </row>
    <row r="357" customFormat="false" ht="12.8" hidden="false" customHeight="false" outlineLevel="0" collapsed="false">
      <c r="K357" s="0" t="s">
        <v>366</v>
      </c>
      <c r="L357" s="0" t="n">
        <f aca="false">LEN("hello")</f>
        <v>5</v>
      </c>
    </row>
    <row r="358" customFormat="false" ht="12.8" hidden="false" customHeight="false" outlineLevel="0" collapsed="false">
      <c r="K358" s="0" t="s">
        <v>367</v>
      </c>
      <c r="L358" s="0" t="n">
        <f aca="false">LEN(B5)</f>
        <v>10</v>
      </c>
    </row>
    <row r="359" customFormat="false" ht="12.8" hidden="false" customHeight="false" outlineLevel="0" collapsed="false">
      <c r="K359" s="0" t="s">
        <v>368</v>
      </c>
      <c r="L359" s="0" t="n">
        <f aca="false">LEN(D3)</f>
        <v>0</v>
      </c>
    </row>
    <row r="360" customFormat="false" ht="12.8" hidden="false" customHeight="false" outlineLevel="0" collapsed="false">
      <c r="K360" s="0" t="s">
        <v>369</v>
      </c>
      <c r="L360" s="0" t="n">
        <f aca="false">LEN(D4)</f>
        <v>0</v>
      </c>
    </row>
    <row r="361" customFormat="false" ht="12.8" hidden="false" customHeight="false" outlineLevel="0" collapsed="false">
      <c r="K361" s="0" t="s">
        <v>370</v>
      </c>
      <c r="L361" s="0" t="n">
        <f aca="false">LEN(D6)</f>
        <v>10</v>
      </c>
    </row>
    <row r="362" customFormat="false" ht="12.8" hidden="false" customHeight="false" outlineLevel="0" collapsed="false">
      <c r="K362" s="0" t="s">
        <v>371</v>
      </c>
      <c r="L362" s="0" t="n">
        <f aca="false">LEN(C1)</f>
        <v>4</v>
      </c>
    </row>
    <row r="363" customFormat="false" ht="12.8" hidden="false" customHeight="false" outlineLevel="0" collapsed="false">
      <c r="K363" s="0" t="s">
        <v>372</v>
      </c>
      <c r="L363" s="0" t="n">
        <f aca="false">LEN(A1)</f>
        <v>1</v>
      </c>
    </row>
    <row r="364" customFormat="false" ht="12.8" hidden="false" customHeight="false" outlineLevel="0" collapsed="false">
      <c r="K364" s="0" t="s">
        <v>373</v>
      </c>
      <c r="L364" s="0" t="e">
        <f aca="false">LEN(H1)</f>
        <v>#DIV/0!</v>
      </c>
    </row>
    <row r="365" customFormat="false" ht="12.8" hidden="false" customHeight="false" outlineLevel="0" collapsed="false">
      <c r="K365" s="0" t="s">
        <v>374</v>
      </c>
      <c r="L365" s="0" t="n">
        <f aca="false">LEN(TRUE())</f>
        <v>1</v>
      </c>
    </row>
    <row r="366" customFormat="false" ht="12.8" hidden="false" customHeight="false" outlineLevel="0" collapsed="false">
      <c r="K366" s="0" t="s">
        <v>375</v>
      </c>
      <c r="L366" s="0" t="n">
        <f aca="false">LEN(E3)</f>
        <v>8</v>
      </c>
    </row>
    <row r="367" customFormat="false" ht="12.8" hidden="false" customHeight="false" outlineLevel="0" collapsed="false">
      <c r="K367" s="0" t="s">
        <v>376</v>
      </c>
      <c r="L367" s="0" t="n">
        <f aca="false">LEN("")</f>
        <v>0</v>
      </c>
    </row>
    <row r="368" customFormat="false" ht="12.8" hidden="false" customHeight="false" outlineLevel="0" collapsed="false">
      <c r="K368" s="0" t="s">
        <v>377</v>
      </c>
      <c r="L368" s="0" t="n">
        <f aca="false">LEN("Äpfel")</f>
        <v>5</v>
      </c>
    </row>
    <row r="369" customFormat="false" ht="12.8" hidden="false" customHeight="false" outlineLevel="0" collapsed="false">
      <c r="K369" s="0" t="s">
        <v>378</v>
      </c>
      <c r="L369" s="0" t="str">
        <f aca="false">UPPER("abc")</f>
        <v>ABC</v>
      </c>
    </row>
    <row r="370" customFormat="false" ht="12.8" hidden="false" customHeight="false" outlineLevel="0" collapsed="false">
      <c r="K370" s="0" t="s">
        <v>379</v>
      </c>
      <c r="L370" s="0" t="str">
        <f aca="false">UPPER(B1)</f>
        <v>APPLE</v>
      </c>
    </row>
    <row r="371" customFormat="false" ht="12.8" hidden="false" customHeight="false" outlineLevel="0" collapsed="false">
      <c r="K371" s="0" t="s">
        <v>380</v>
      </c>
      <c r="L371" s="0" t="str">
        <f aca="false">UPPER(A1)</f>
        <v>1</v>
      </c>
    </row>
    <row r="372" customFormat="false" ht="12.8" hidden="false" customHeight="false" outlineLevel="0" collapsed="false">
      <c r="K372" s="0" t="s">
        <v>381</v>
      </c>
      <c r="L372" s="0" t="str">
        <f aca="false">UPPER(D4)</f>
        <v/>
      </c>
    </row>
    <row r="373" customFormat="false" ht="12.8" hidden="false" customHeight="false" outlineLevel="0" collapsed="false">
      <c r="K373" s="0" t="s">
        <v>382</v>
      </c>
      <c r="L373" s="0" t="e">
        <f aca="false">UPPER(H1)</f>
        <v>#DIV/0!</v>
      </c>
    </row>
    <row r="374" customFormat="false" ht="12.8" hidden="false" customHeight="false" outlineLevel="0" collapsed="false">
      <c r="K374" s="0" t="s">
        <v>383</v>
      </c>
      <c r="L374" s="0" t="str">
        <f aca="false">UPPER("äö")</f>
        <v>ÄÖ</v>
      </c>
    </row>
    <row r="375" customFormat="false" ht="12.8" hidden="false" customHeight="false" outlineLevel="0" collapsed="false">
      <c r="K375" s="0" t="s">
        <v>384</v>
      </c>
      <c r="L375" s="0" t="str">
        <f aca="false">UPPER(TRUE())</f>
        <v>1</v>
      </c>
    </row>
    <row r="376" customFormat="false" ht="12.8" hidden="false" customHeight="false" outlineLevel="0" collapsed="false">
      <c r="K376" s="0" t="s">
        <v>385</v>
      </c>
      <c r="L376" s="0" t="str">
        <f aca="false">UPPER(B1&amp;B2)</f>
        <v>APPLEBANANA</v>
      </c>
    </row>
    <row r="377" customFormat="false" ht="12.8" hidden="false" customHeight="false" outlineLevel="0" collapsed="false">
      <c r="K377" s="0" t="s">
        <v>386</v>
      </c>
      <c r="L377" s="0" t="str">
        <f aca="false">LOWER("ABC")</f>
        <v>abc</v>
      </c>
    </row>
    <row r="378" customFormat="false" ht="12.8" hidden="false" customHeight="false" outlineLevel="0" collapsed="false">
      <c r="K378" s="0" t="s">
        <v>387</v>
      </c>
      <c r="L378" s="0" t="str">
        <f aca="false">LOWER(B1)</f>
        <v>apple</v>
      </c>
    </row>
    <row r="379" customFormat="false" ht="12.8" hidden="false" customHeight="false" outlineLevel="0" collapsed="false">
      <c r="K379" s="0" t="s">
        <v>388</v>
      </c>
      <c r="L379" s="0" t="str">
        <f aca="false">LOWER("ÄÖ")</f>
        <v>äö</v>
      </c>
    </row>
    <row r="380" customFormat="false" ht="12.8" hidden="false" customHeight="false" outlineLevel="0" collapsed="false">
      <c r="K380" s="0" t="s">
        <v>389</v>
      </c>
      <c r="L380" s="0" t="str">
        <f aca="false">LOWER(D6)</f>
        <v>  padded  </v>
      </c>
    </row>
    <row r="381" customFormat="false" ht="12.8" hidden="false" customHeight="false" outlineLevel="0" collapsed="false">
      <c r="K381" s="0" t="s">
        <v>390</v>
      </c>
      <c r="L381" s="0" t="e">
        <f aca="false">LOWER(H1)</f>
        <v>#DIV/0!</v>
      </c>
    </row>
    <row r="382" customFormat="false" ht="12.8" hidden="false" customHeight="false" outlineLevel="0" collapsed="false">
      <c r="K382" s="0" t="s">
        <v>391</v>
      </c>
      <c r="L382" s="0" t="str">
        <f aca="false">LOWER(D4)</f>
        <v/>
      </c>
    </row>
    <row r="383" customFormat="false" ht="12.8" hidden="false" customHeight="false" outlineLevel="0" collapsed="false">
      <c r="K383" s="0" t="s">
        <v>392</v>
      </c>
      <c r="L383" s="0" t="str">
        <f aca="false">LOWER(TRUE())</f>
        <v>1</v>
      </c>
    </row>
    <row r="384" customFormat="false" ht="12.8" hidden="false" customHeight="false" outlineLevel="0" collapsed="false">
      <c r="K384" s="0" t="s">
        <v>393</v>
      </c>
      <c r="L384" s="0" t="str">
        <f aca="false">LOWER(UPPER(B2))</f>
        <v>banana</v>
      </c>
    </row>
    <row r="385" customFormat="false" ht="12.8" hidden="false" customHeight="false" outlineLevel="0" collapsed="false">
      <c r="K385" s="0" t="s">
        <v>394</v>
      </c>
      <c r="L385" s="0" t="str">
        <f aca="false">TRIM("  a  b  ")</f>
        <v>a b</v>
      </c>
    </row>
    <row r="386" customFormat="false" ht="12.8" hidden="false" customHeight="false" outlineLevel="0" collapsed="false">
      <c r="K386" s="0" t="s">
        <v>395</v>
      </c>
      <c r="L386" s="0" t="str">
        <f aca="false">TRIM(D6)</f>
        <v>padded</v>
      </c>
    </row>
    <row r="387" customFormat="false" ht="12.8" hidden="false" customHeight="false" outlineLevel="0" collapsed="false">
      <c r="K387" s="0" t="s">
        <v>396</v>
      </c>
      <c r="L387" s="0" t="str">
        <f aca="false">TRIM(B1)</f>
        <v>apple</v>
      </c>
    </row>
    <row r="388" customFormat="false" ht="12.8" hidden="false" customHeight="false" outlineLevel="0" collapsed="false">
      <c r="K388" s="0" t="s">
        <v>397</v>
      </c>
      <c r="L388" s="0" t="str">
        <f aca="false">TRIM(D4)</f>
        <v/>
      </c>
    </row>
    <row r="389" customFormat="false" ht="12.8" hidden="false" customHeight="false" outlineLevel="0" collapsed="false">
      <c r="K389" s="0" t="s">
        <v>398</v>
      </c>
      <c r="L389" s="0" t="e">
        <f aca="false">TRIM(H1)</f>
        <v>#DIV/0!</v>
      </c>
    </row>
    <row r="390" customFormat="false" ht="12.8" hidden="false" customHeight="false" outlineLevel="0" collapsed="false">
      <c r="K390" s="0" t="s">
        <v>399</v>
      </c>
      <c r="L390" s="0" t="str">
        <f aca="false">TRIM(A1)</f>
        <v>1</v>
      </c>
    </row>
    <row r="391" customFormat="false" ht="12.8" hidden="false" customHeight="false" outlineLevel="0" collapsed="false">
      <c r="K391" s="0" t="s">
        <v>400</v>
      </c>
      <c r="L391" s="0" t="str">
        <f aca="false">TRIM("   ")</f>
        <v/>
      </c>
    </row>
    <row r="392" customFormat="false" ht="12.8" hidden="false" customHeight="false" outlineLevel="0" collapsed="false">
      <c r="K392" s="0" t="s">
        <v>401</v>
      </c>
      <c r="L392" s="0" t="str">
        <f aca="false">TRIM(D5)</f>
        <v>42</v>
      </c>
    </row>
    <row r="393" customFormat="false" ht="12.8" hidden="false" customHeight="false" outlineLevel="0" collapsed="false">
      <c r="K393" s="0" t="s">
        <v>402</v>
      </c>
      <c r="L393" s="0" t="n">
        <f aca="false">FIND("a","banana")</f>
        <v>2</v>
      </c>
    </row>
    <row r="394" customFormat="false" ht="12.8" hidden="false" customHeight="false" outlineLevel="0" collapsed="false">
      <c r="K394" s="0" t="s">
        <v>403</v>
      </c>
      <c r="L394" s="0" t="n">
        <f aca="false">FIND("a","banana",3)</f>
        <v>4</v>
      </c>
    </row>
    <row r="395" customFormat="false" ht="12.8" hidden="false" customHeight="false" outlineLevel="0" collapsed="false">
      <c r="K395" s="0" t="s">
        <v>404</v>
      </c>
      <c r="L395" s="0" t="e">
        <f aca="false">FIND("A","banana")</f>
        <v>#VALUE!</v>
      </c>
    </row>
    <row r="396" customFormat="false" ht="12.8" hidden="false" customHeight="false" outlineLevel="0" collapsed="false">
      <c r="K396" s="0" t="s">
        <v>405</v>
      </c>
      <c r="L396" s="0" t="e">
        <f aca="false">FIND("","abc")</f>
        <v>#VALUE!</v>
      </c>
    </row>
    <row r="397" customFormat="false" ht="12.8" hidden="false" customHeight="false" outlineLevel="0" collapsed="false">
      <c r="K397" s="0" t="s">
        <v>406</v>
      </c>
      <c r="L397" s="0" t="e">
        <f aca="false">FIND("z",B1)</f>
        <v>#VALUE!</v>
      </c>
    </row>
    <row r="398" customFormat="false" ht="12.8" hidden="false" customHeight="false" outlineLevel="0" collapsed="false">
      <c r="K398" s="0" t="s">
        <v>407</v>
      </c>
      <c r="L398" s="0" t="n">
        <f aca="false">FIND("e",B5)</f>
        <v>1</v>
      </c>
    </row>
    <row r="399" customFormat="false" ht="12.8" hidden="false" customHeight="false" outlineLevel="0" collapsed="false">
      <c r="K399" s="0" t="s">
        <v>408</v>
      </c>
      <c r="L399" s="0" t="n">
        <f aca="false">FIND("e",B5,2)</f>
        <v>4</v>
      </c>
    </row>
    <row r="400" customFormat="false" ht="12.8" hidden="false" customHeight="false" outlineLevel="0" collapsed="false">
      <c r="K400" s="0" t="s">
        <v>409</v>
      </c>
      <c r="L400" s="0" t="n">
        <f aca="false">FIND("na",B2)</f>
        <v>3</v>
      </c>
    </row>
    <row r="401" customFormat="false" ht="12.8" hidden="false" customHeight="false" outlineLevel="0" collapsed="false">
      <c r="K401" s="0" t="s">
        <v>410</v>
      </c>
      <c r="L401" s="0" t="e">
        <f aca="false">FIND("a",B1,0)</f>
        <v>#VALUE!</v>
      </c>
    </row>
    <row r="402" customFormat="false" ht="12.8" hidden="false" customHeight="false" outlineLevel="0" collapsed="false">
      <c r="K402" s="0" t="s">
        <v>411</v>
      </c>
      <c r="L402" s="0" t="e">
        <f aca="false">FIND(H1,"abc")</f>
        <v>#DIV/0!</v>
      </c>
    </row>
    <row r="403" customFormat="false" ht="12.8" hidden="false" customHeight="false" outlineLevel="0" collapsed="false">
      <c r="K403" s="0" t="s">
        <v>412</v>
      </c>
      <c r="L403" s="0" t="e">
        <f aca="false">FIND("0",A1)</f>
        <v>#VALUE!</v>
      </c>
    </row>
    <row r="404" customFormat="false" ht="12.8" hidden="false" customHeight="false" outlineLevel="0" collapsed="false">
      <c r="K404" s="0" t="s">
        <v>413</v>
      </c>
      <c r="L404" s="0" t="n">
        <f aca="false">FIND(1,A1)</f>
        <v>1</v>
      </c>
    </row>
    <row r="405" customFormat="false" ht="12.8" hidden="false" customHeight="false" outlineLevel="0" collapsed="false">
      <c r="K405" s="0" t="s">
        <v>414</v>
      </c>
      <c r="L405" s="0" t="e">
        <f aca="false">FIND("a",D4)</f>
        <v>#VALUE!</v>
      </c>
    </row>
    <row r="406" customFormat="false" ht="12.8" hidden="false" customHeight="false" outlineLevel="0" collapsed="false">
      <c r="K406" s="0" t="s">
        <v>415</v>
      </c>
      <c r="L406" s="0" t="n">
        <f aca="false">FIND("?","a?b")</f>
        <v>2</v>
      </c>
    </row>
    <row r="407" customFormat="false" ht="12.8" hidden="false" customHeight="false" outlineLevel="0" collapsed="false">
      <c r="K407" s="0" t="s">
        <v>416</v>
      </c>
      <c r="L407" s="0" t="str">
        <f aca="false">SUBSTITUTE("banana","a","o")</f>
        <v>bonono</v>
      </c>
    </row>
    <row r="408" customFormat="false" ht="12.8" hidden="false" customHeight="false" outlineLevel="0" collapsed="false">
      <c r="K408" s="0" t="s">
        <v>417</v>
      </c>
      <c r="L408" s="0" t="str">
        <f aca="false">SUBSTITUTE("banana","a","o",2)</f>
        <v>banona</v>
      </c>
    </row>
    <row r="409" customFormat="false" ht="12.8" hidden="false" customHeight="false" outlineLevel="0" collapsed="false">
      <c r="K409" s="0" t="s">
        <v>418</v>
      </c>
      <c r="L409" s="0" t="str">
        <f aca="false">SUBSTITUTE("banana","A","o")</f>
        <v>banana</v>
      </c>
    </row>
    <row r="410" customFormat="false" ht="12.8" hidden="false" customHeight="false" outlineLevel="0" collapsed="false">
      <c r="K410" s="0" t="s">
        <v>419</v>
      </c>
      <c r="L410" s="0" t="str">
        <f aca="false">SUBSTITUTE(B2,"an","")</f>
        <v>ba</v>
      </c>
    </row>
    <row r="411" customFormat="false" ht="12.8" hidden="false" customHeight="false" outlineLevel="0" collapsed="false">
      <c r="K411" s="0" t="s">
        <v>420</v>
      </c>
      <c r="L411" s="0" t="str">
        <f aca="false">SUBSTITUTE(B1,"p","pp")</f>
        <v>apppple</v>
      </c>
    </row>
    <row r="412" customFormat="false" ht="12.8" hidden="false" customHeight="false" outlineLevel="0" collapsed="false">
      <c r="K412" s="0" t="s">
        <v>421</v>
      </c>
      <c r="L412" s="0" t="e">
        <f aca="false">SUBSTITUTE(H1,"a","b")</f>
        <v>#DIV/0!</v>
      </c>
    </row>
    <row r="413" customFormat="false" ht="12.8" hidden="false" customHeight="false" outlineLevel="0" collapsed="false">
      <c r="K413" s="0" t="s">
        <v>422</v>
      </c>
      <c r="L413" s="0" t="str">
        <f aca="false">SUBSTITUTE(A1,1,2)</f>
        <v>2</v>
      </c>
    </row>
    <row r="414" customFormat="false" ht="12.8" hidden="false" customHeight="false" outlineLevel="0" collapsed="false">
      <c r="K414" s="0" t="s">
        <v>423</v>
      </c>
      <c r="L414" s="0" t="str">
        <f aca="false">SUBSTITUTE(B1,"","x")</f>
        <v>apple</v>
      </c>
    </row>
    <row r="415" customFormat="false" ht="12.8" hidden="false" customHeight="false" outlineLevel="0" collapsed="false">
      <c r="K415" s="0" t="s">
        <v>424</v>
      </c>
      <c r="L415" s="0" t="str">
        <f aca="false">SUBSTITUTE(D4,"a","b")</f>
        <v/>
      </c>
    </row>
    <row r="416" customFormat="false" ht="12.8" hidden="false" customHeight="false" outlineLevel="0" collapsed="false">
      <c r="K416" s="0" t="s">
        <v>425</v>
      </c>
      <c r="L416" s="0" t="str">
        <f aca="false">SUBSTITUTE("aaa","a","b",4)</f>
        <v>aaa</v>
      </c>
    </row>
    <row r="417" customFormat="false" ht="12.8" hidden="false" customHeight="false" outlineLevel="0" collapsed="false">
      <c r="K417" s="0" t="s">
        <v>426</v>
      </c>
      <c r="L417" s="0" t="str">
        <f aca="false">SUBSTITUTE("abc","b","")</f>
        <v>ac</v>
      </c>
    </row>
    <row r="418" customFormat="false" ht="12.8" hidden="false" customHeight="false" outlineLevel="0" collapsed="false">
      <c r="K418" s="0" t="s">
        <v>427</v>
      </c>
      <c r="L418" s="0" t="e">
        <f aca="false">SUBSTITUTE(B1,"a","x",0)</f>
        <v>#VALUE!</v>
      </c>
    </row>
    <row r="419" customFormat="false" ht="12.8" hidden="false" customHeight="false" outlineLevel="0" collapsed="false">
      <c r="K419" s="0" t="s">
        <v>428</v>
      </c>
      <c r="L419" s="0" t="str">
        <f aca="false">TEXT(1234.5,"0")</f>
        <v>1235</v>
      </c>
    </row>
    <row r="420" customFormat="false" ht="12.8" hidden="false" customHeight="false" outlineLevel="0" collapsed="false">
      <c r="K420" s="0" t="s">
        <v>429</v>
      </c>
      <c r="L420" s="0" t="str">
        <f aca="false">TEXT(1234.567,"0.00")</f>
        <v>1234.57</v>
      </c>
    </row>
    <row r="421" customFormat="false" ht="12.8" hidden="false" customHeight="false" outlineLevel="0" collapsed="false">
      <c r="K421" s="0" t="s">
        <v>430</v>
      </c>
      <c r="L421" s="0" t="str">
        <f aca="false">TEXT(1234567.891,"#,##0")</f>
        <v>1,234,568</v>
      </c>
    </row>
    <row r="422" customFormat="false" ht="12.8" hidden="false" customHeight="false" outlineLevel="0" collapsed="false">
      <c r="K422" s="0" t="s">
        <v>431</v>
      </c>
      <c r="L422" s="0" t="str">
        <f aca="false">TEXT(1234567.891,"#,##0.00")</f>
        <v>1,234,567.89</v>
      </c>
    </row>
    <row r="423" customFormat="false" ht="12.8" hidden="false" customHeight="false" outlineLevel="0" collapsed="false">
      <c r="K423" s="0" t="s">
        <v>432</v>
      </c>
      <c r="L423" s="0" t="str">
        <f aca="false">TEXT(0.256,"0%")</f>
        <v>26%</v>
      </c>
    </row>
    <row r="424" customFormat="false" ht="12.8" hidden="false" customHeight="false" outlineLevel="0" collapsed="false">
      <c r="K424" s="0" t="s">
        <v>433</v>
      </c>
      <c r="L424" s="0" t="str">
        <f aca="false">TEXT(0.256,"0.0%")</f>
        <v>25.6%</v>
      </c>
    </row>
    <row r="425" customFormat="false" ht="12.8" hidden="false" customHeight="false" outlineLevel="0" collapsed="false">
      <c r="K425" s="0" t="s">
        <v>434</v>
      </c>
      <c r="L425" s="0" t="str">
        <f aca="false">TEXT(E1,"yyyy-mm-dd")</f>
        <v>2024-01-15</v>
      </c>
    </row>
    <row r="426" customFormat="false" ht="12.8" hidden="false" customHeight="false" outlineLevel="0" collapsed="false">
      <c r="K426" s="0" t="s">
        <v>435</v>
      </c>
      <c r="L426" s="0" t="str">
        <f aca="false">TEXT(E1,"dd.mm.yyyy")</f>
        <v>15.01.2024</v>
      </c>
    </row>
    <row r="427" customFormat="false" ht="12.8" hidden="false" customHeight="false" outlineLevel="0" collapsed="false">
      <c r="K427" s="0" t="s">
        <v>436</v>
      </c>
      <c r="L427" s="0" t="str">
        <f aca="false">TEXT(E1,"mm/dd/yyyy")</f>
        <v>01/15/2024</v>
      </c>
    </row>
    <row r="428" customFormat="false" ht="12.8" hidden="false" customHeight="false" outlineLevel="0" collapsed="false">
      <c r="K428" s="0" t="s">
        <v>437</v>
      </c>
      <c r="L428" s="0" t="str">
        <f aca="false">TEXT(B1,"@")</f>
        <v>apple</v>
      </c>
    </row>
    <row r="429" customFormat="false" ht="12.8" hidden="false" customHeight="false" outlineLevel="0" collapsed="false">
      <c r="K429" s="0" t="s">
        <v>438</v>
      </c>
      <c r="L429" s="0" t="str">
        <f aca="false">TEXT(A1,"@")</f>
        <v>1</v>
      </c>
    </row>
    <row r="430" customFormat="false" ht="12.8" hidden="false" customHeight="false" outlineLevel="0" collapsed="false">
      <c r="K430" s="0" t="s">
        <v>439</v>
      </c>
      <c r="L430" s="0" t="str">
        <f aca="false">TEXT(-2,"0.00")</f>
        <v>-2.00</v>
      </c>
    </row>
    <row r="431" customFormat="false" ht="12.8" hidden="false" customHeight="false" outlineLevel="0" collapsed="false">
      <c r="K431" s="0" t="s">
        <v>440</v>
      </c>
      <c r="L431" s="0" t="str">
        <f aca="false">TEXT(C2,"#,##0.00")</f>
        <v>-2.00</v>
      </c>
    </row>
    <row r="432" customFormat="false" ht="12.8" hidden="false" customHeight="false" outlineLevel="0" collapsed="false">
      <c r="K432" s="0" t="s">
        <v>441</v>
      </c>
      <c r="L432" s="0" t="str">
        <f aca="false">TEXT(0,"0.00")</f>
        <v>0.00</v>
      </c>
    </row>
    <row r="433" customFormat="false" ht="12.8" hidden="false" customHeight="false" outlineLevel="0" collapsed="false">
      <c r="K433" s="0" t="s">
        <v>442</v>
      </c>
      <c r="L433" s="0" t="e">
        <f aca="false">TEXT(H1,"0")</f>
        <v>#DIV/0!</v>
      </c>
    </row>
    <row r="434" customFormat="false" ht="12.8" hidden="false" customHeight="false" outlineLevel="0" collapsed="false">
      <c r="K434" s="0" t="s">
        <v>443</v>
      </c>
      <c r="L434" s="0" t="str">
        <f aca="false">TEXT(D4,"0")</f>
        <v>0</v>
      </c>
    </row>
    <row r="435" customFormat="false" ht="12.8" hidden="false" customHeight="false" outlineLevel="0" collapsed="false">
      <c r="K435" s="0" t="s">
        <v>444</v>
      </c>
      <c r="L435" s="0" t="str">
        <f aca="false">TEXT(C6,"#,##0")</f>
        <v>1,000,000</v>
      </c>
    </row>
    <row r="436" customFormat="false" ht="12.8" hidden="false" customHeight="false" outlineLevel="0" collapsed="false">
      <c r="K436" s="0" t="s">
        <v>445</v>
      </c>
      <c r="L436" s="0" t="str">
        <f aca="false">TEXT(C1,"0")</f>
        <v>11</v>
      </c>
    </row>
    <row r="437" customFormat="false" ht="12.8" hidden="false" customHeight="false" outlineLevel="0" collapsed="false">
      <c r="K437" s="0" t="s">
        <v>446</v>
      </c>
      <c r="L437" s="0" t="str">
        <f aca="false">TEXT(-1234.5,"#,##0.00")</f>
        <v>-1,234.50</v>
      </c>
    </row>
    <row r="438" customFormat="false" ht="12.8" hidden="false" customHeight="false" outlineLevel="0" collapsed="false">
      <c r="K438" s="0" t="s">
        <v>447</v>
      </c>
      <c r="L438" s="0" t="str">
        <f aca="false">TEXT(E3,"yyyy-mm-dd")</f>
        <v>2024-01-15</v>
      </c>
    </row>
    <row r="439" customFormat="false" ht="12.8" hidden="false" customHeight="false" outlineLevel="0" collapsed="false">
      <c r="K439" s="0" t="s">
        <v>448</v>
      </c>
      <c r="L439" s="0" t="str">
        <f aca="false">TEXT(E2,"dd.mm.yyyy")</f>
        <v>31.12.2024</v>
      </c>
    </row>
    <row r="440" customFormat="false" ht="12.8" hidden="false" customHeight="false" outlineLevel="0" collapsed="false">
      <c r="K440" s="0" t="s">
        <v>449</v>
      </c>
      <c r="L440" s="0" t="str">
        <f aca="false">TEXT(B1,"0")</f>
        <v>apple</v>
      </c>
    </row>
    <row r="441" customFormat="false" ht="12.8" hidden="false" customHeight="false" outlineLevel="0" collapsed="false">
      <c r="K441" s="0" t="s">
        <v>450</v>
      </c>
      <c r="L441" s="0" t="str">
        <f aca="false">TEXT(0.5,"0%")</f>
        <v>50%</v>
      </c>
    </row>
    <row r="442" customFormat="false" ht="12.8" hidden="false" customHeight="false" outlineLevel="0" collapsed="false">
      <c r="K442" s="0" t="s">
        <v>451</v>
      </c>
      <c r="L442" s="0" t="str">
        <f aca="false">TEXT(1,"0.0%")</f>
        <v>100.0%</v>
      </c>
    </row>
    <row r="443" customFormat="false" ht="12.8" hidden="false" customHeight="false" outlineLevel="0" collapsed="false">
      <c r="K443" s="0" t="s">
        <v>452</v>
      </c>
      <c r="L443" s="0" t="str">
        <f aca="false">TEXT(E4,"0.0%")</f>
        <v>50.0%</v>
      </c>
    </row>
    <row r="444" customFormat="false" ht="12.8" hidden="false" customHeight="false" outlineLevel="0" collapsed="false">
      <c r="K444" s="0" t="s">
        <v>453</v>
      </c>
      <c r="L444" s="0" t="str">
        <f aca="false">TEXT(D5,"0.00")</f>
        <v>42.00</v>
      </c>
    </row>
    <row r="445" customFormat="false" ht="12.8" hidden="false" customHeight="false" outlineLevel="0" collapsed="false">
      <c r="K445" s="0" t="s">
        <v>454</v>
      </c>
      <c r="L445" s="0" t="str">
        <f aca="false">TEXT(0.005,"0.00")</f>
        <v>0.01</v>
      </c>
    </row>
    <row r="446" customFormat="false" ht="12.8" hidden="false" customHeight="false" outlineLevel="0" collapsed="false">
      <c r="K446" s="0" t="s">
        <v>455</v>
      </c>
      <c r="L446" s="0" t="str">
        <f aca="false">TEXT(999.995,"0.00")</f>
        <v>1000.00</v>
      </c>
    </row>
    <row r="447" customFormat="false" ht="12.8" hidden="false" customHeight="false" outlineLevel="0" collapsed="false">
      <c r="K447" s="0" t="s">
        <v>456</v>
      </c>
      <c r="L447" s="0" t="n">
        <f aca="false">VALUE("123")</f>
        <v>123</v>
      </c>
    </row>
    <row r="448" customFormat="false" ht="12.8" hidden="false" customHeight="false" outlineLevel="0" collapsed="false">
      <c r="K448" s="0" t="s">
        <v>457</v>
      </c>
      <c r="L448" s="0" t="n">
        <f aca="false">VALUE("1.5")</f>
        <v>1.5</v>
      </c>
    </row>
    <row r="449" customFormat="false" ht="12.8" hidden="false" customHeight="false" outlineLevel="0" collapsed="false">
      <c r="K449" s="0" t="s">
        <v>458</v>
      </c>
      <c r="L449" s="0" t="e">
        <f aca="false">VALUE("abc")</f>
        <v>#VALUE!</v>
      </c>
    </row>
    <row r="450" customFormat="false" ht="12.8" hidden="false" customHeight="false" outlineLevel="0" collapsed="false">
      <c r="K450" s="0" t="s">
        <v>459</v>
      </c>
      <c r="L450" s="0" t="e">
        <f aca="false">VALUE("")</f>
        <v>#VALUE!</v>
      </c>
    </row>
    <row r="451" customFormat="false" ht="12.8" hidden="false" customHeight="false" outlineLevel="0" collapsed="false">
      <c r="K451" s="0" t="s">
        <v>460</v>
      </c>
      <c r="L451" s="0" t="n">
        <f aca="false">VALUE(D5)</f>
        <v>42</v>
      </c>
    </row>
    <row r="452" customFormat="false" ht="12.8" hidden="false" customHeight="false" outlineLevel="0" collapsed="false">
      <c r="K452" s="0" t="s">
        <v>461</v>
      </c>
      <c r="L452" s="0" t="n">
        <f aca="false">VALUE(A1)</f>
        <v>1</v>
      </c>
    </row>
    <row r="453" customFormat="false" ht="12.8" hidden="false" customHeight="false" outlineLevel="0" collapsed="false">
      <c r="K453" s="0" t="s">
        <v>462</v>
      </c>
      <c r="L453" s="0" t="n">
        <f aca="false">VALUE(D4)</f>
        <v>0</v>
      </c>
    </row>
    <row r="454" customFormat="false" ht="12.8" hidden="false" customHeight="false" outlineLevel="0" collapsed="false">
      <c r="K454" s="0" t="s">
        <v>463</v>
      </c>
      <c r="L454" s="0" t="e">
        <f aca="false">VALUE(H1)</f>
        <v>#DIV/0!</v>
      </c>
    </row>
    <row r="455" customFormat="false" ht="12.8" hidden="false" customHeight="false" outlineLevel="0" collapsed="false">
      <c r="K455" s="0" t="s">
        <v>464</v>
      </c>
      <c r="L455" s="0" t="n">
        <f aca="false">VALUE(" 12 ")</f>
        <v>12</v>
      </c>
    </row>
    <row r="456" customFormat="false" ht="12.8" hidden="false" customHeight="false" outlineLevel="0" collapsed="false">
      <c r="K456" s="0" t="s">
        <v>465</v>
      </c>
      <c r="L456" s="0" t="n">
        <f aca="false">VALUE("1e3")</f>
        <v>1000</v>
      </c>
    </row>
    <row r="457" customFormat="false" ht="12.8" hidden="false" customHeight="false" outlineLevel="0" collapsed="false">
      <c r="K457" s="0" t="s">
        <v>466</v>
      </c>
      <c r="L457" s="0" t="n">
        <f aca="false">VALUE("50%")</f>
        <v>0.5</v>
      </c>
    </row>
    <row r="458" customFormat="false" ht="12.8" hidden="false" customHeight="false" outlineLevel="0" collapsed="false">
      <c r="K458" s="0" t="s">
        <v>467</v>
      </c>
      <c r="L458" s="0" t="n">
        <f aca="false">VALUE("-7")</f>
        <v>-7</v>
      </c>
    </row>
    <row r="459" customFormat="false" ht="12.8" hidden="false" customHeight="false" outlineLevel="0" collapsed="false">
      <c r="K459" s="0" t="s">
        <v>468</v>
      </c>
      <c r="L459" s="1" t="b">
        <f aca="false">VALUE(TRUE())</f>
        <v>1</v>
      </c>
    </row>
    <row r="460" customFormat="false" ht="12.8" hidden="false" customHeight="false" outlineLevel="0" collapsed="false">
      <c r="K460" s="0" t="s">
        <v>469</v>
      </c>
      <c r="L460" s="0" t="n">
        <f aca="false">VALUE("2024-01-15")</f>
        <v>45306</v>
      </c>
    </row>
    <row r="461" customFormat="false" ht="12.8" hidden="false" customHeight="false" outlineLevel="0" collapsed="false">
      <c r="K461" s="0" t="s">
        <v>470</v>
      </c>
      <c r="L461" s="0" t="e">
        <f aca="false">VALUE(B1)</f>
        <v>#VALUE!</v>
      </c>
    </row>
    <row r="462" customFormat="false" ht="12.8" hidden="false" customHeight="false" outlineLevel="0" collapsed="false">
      <c r="K462" s="0" t="s">
        <v>471</v>
      </c>
      <c r="L462" s="1" t="b">
        <f aca="false">EXACT("a","a")</f>
        <v>1</v>
      </c>
    </row>
    <row r="463" customFormat="false" ht="12.8" hidden="false" customHeight="false" outlineLevel="0" collapsed="false">
      <c r="K463" s="0" t="s">
        <v>472</v>
      </c>
      <c r="L463" s="1" t="b">
        <f aca="false">EXACT("a","A")</f>
        <v>0</v>
      </c>
    </row>
    <row r="464" customFormat="false" ht="12.8" hidden="false" customHeight="false" outlineLevel="0" collapsed="false">
      <c r="K464" s="0" t="s">
        <v>473</v>
      </c>
      <c r="L464" s="1" t="b">
        <f aca="false">EXACT(B1,"apple")</f>
        <v>1</v>
      </c>
    </row>
    <row r="465" customFormat="false" ht="12.8" hidden="false" customHeight="false" outlineLevel="0" collapsed="false">
      <c r="K465" s="0" t="s">
        <v>474</v>
      </c>
      <c r="L465" s="1" t="b">
        <f aca="false">EXACT(A1,1)</f>
        <v>1</v>
      </c>
    </row>
    <row r="466" customFormat="false" ht="12.8" hidden="false" customHeight="false" outlineLevel="0" collapsed="false">
      <c r="K466" s="0" t="s">
        <v>475</v>
      </c>
      <c r="L466" s="1" t="b">
        <f aca="false">EXACT(D4,"")</f>
        <v>1</v>
      </c>
    </row>
    <row r="467" customFormat="false" ht="12.8" hidden="false" customHeight="false" outlineLevel="0" collapsed="false">
      <c r="K467" s="0" t="s">
        <v>476</v>
      </c>
      <c r="L467" s="1" t="b">
        <f aca="false">EXACT(D3,D4)</f>
        <v>1</v>
      </c>
    </row>
    <row r="468" customFormat="false" ht="12.8" hidden="false" customHeight="false" outlineLevel="0" collapsed="false">
      <c r="K468" s="0" t="s">
        <v>477</v>
      </c>
      <c r="L468" s="1" t="e">
        <f aca="false">EXACT(H1,"a")</f>
        <v>#DIV/0!</v>
      </c>
    </row>
    <row r="469" customFormat="false" ht="12.8" hidden="false" customHeight="false" outlineLevel="0" collapsed="false">
      <c r="K469" s="0" t="s">
        <v>478</v>
      </c>
      <c r="L469" s="1" t="b">
        <f aca="false">EXACT(B1,B2)</f>
        <v>0</v>
      </c>
    </row>
    <row r="470" customFormat="false" ht="12.8" hidden="false" customHeight="false" outlineLevel="0" collapsed="false">
      <c r="K470" s="0" t="s">
        <v>479</v>
      </c>
      <c r="L470" s="1" t="b">
        <f aca="false">EXACT(D5,42)</f>
        <v>1</v>
      </c>
    </row>
    <row r="471" customFormat="false" ht="12.8" hidden="false" customHeight="false" outlineLevel="0" collapsed="false">
      <c r="K471" s="0" t="s">
        <v>480</v>
      </c>
      <c r="L471" s="1" t="b">
        <f aca="false">EXACT("a ","a")</f>
        <v>0</v>
      </c>
    </row>
    <row r="472" customFormat="false" ht="12.8" hidden="false" customHeight="false" outlineLevel="0" collapsed="false">
      <c r="K472" s="0" t="s">
        <v>481</v>
      </c>
      <c r="L472" s="0" t="str">
        <f aca="false">VLOOKUP(200,F1:G4,2,FALSE())</f>
        <v>two hundred</v>
      </c>
    </row>
    <row r="473" customFormat="false" ht="12.8" hidden="false" customHeight="false" outlineLevel="0" collapsed="false">
      <c r="K473" s="0" t="s">
        <v>482</v>
      </c>
      <c r="L473" s="0" t="str">
        <f aca="false">VLOOKUP(200,F1:G4,2)</f>
        <v>two hundred</v>
      </c>
    </row>
    <row r="474" customFormat="false" ht="12.8" hidden="false" customHeight="false" outlineLevel="0" collapsed="false">
      <c r="K474" s="0" t="s">
        <v>483</v>
      </c>
      <c r="L474" s="0" t="str">
        <f aca="false">VLOOKUP(250,F1:G4,2,TRUE())</f>
        <v>two hundred</v>
      </c>
    </row>
    <row r="475" customFormat="false" ht="12.8" hidden="false" customHeight="false" outlineLevel="0" collapsed="false">
      <c r="K475" s="0" t="s">
        <v>484</v>
      </c>
      <c r="L475" s="0" t="e">
        <f aca="false">VLOOKUP(50,F1:G4,2,TRUE())</f>
        <v>#N/A</v>
      </c>
    </row>
    <row r="476" customFormat="false" ht="12.8" hidden="false" customHeight="false" outlineLevel="0" collapsed="false">
      <c r="K476" s="0" t="s">
        <v>485</v>
      </c>
      <c r="L476" s="0" t="e">
        <f aca="false">VLOOKUP(999,F1:G4,2,FALSE())</f>
        <v>#N/A</v>
      </c>
    </row>
    <row r="477" customFormat="false" ht="12.8" hidden="false" customHeight="false" outlineLevel="0" collapsed="false">
      <c r="K477" s="0" t="s">
        <v>486</v>
      </c>
      <c r="L477" s="0" t="str">
        <f aca="false">VLOOKUP(500,F1:G4,2,TRUE())</f>
        <v>four hundred</v>
      </c>
    </row>
    <row r="478" customFormat="false" ht="12.8" hidden="false" customHeight="false" outlineLevel="0" collapsed="false">
      <c r="K478" s="0" t="s">
        <v>487</v>
      </c>
      <c r="L478" s="0" t="n">
        <f aca="false">VLOOKUP(100,F1:G4,1,FALSE())</f>
        <v>100</v>
      </c>
    </row>
    <row r="479" customFormat="false" ht="12.8" hidden="false" customHeight="false" outlineLevel="0" collapsed="false">
      <c r="K479" s="0" t="s">
        <v>488</v>
      </c>
      <c r="L479" s="0" t="e">
        <f aca="false">VLOOKUP(100,F1:G4,3,FALSE())</f>
        <v>#VALUE!</v>
      </c>
    </row>
    <row r="480" customFormat="false" ht="12.8" hidden="false" customHeight="false" outlineLevel="0" collapsed="false">
      <c r="K480" s="0" t="s">
        <v>489</v>
      </c>
      <c r="L480" s="0" t="e">
        <f aca="false">VLOOKUP(100,F1:G4,0,FALSE())</f>
        <v>#VALUE!</v>
      </c>
    </row>
    <row r="481" customFormat="false" ht="12.8" hidden="false" customHeight="false" outlineLevel="0" collapsed="false">
      <c r="K481" s="0" t="s">
        <v>490</v>
      </c>
      <c r="L481" s="0" t="e">
        <f aca="false">VLOOKUP(H1,F1:G4,2,FALSE())</f>
        <v>#DIV/0!</v>
      </c>
    </row>
    <row r="482" customFormat="false" ht="12.8" hidden="false" customHeight="false" outlineLevel="0" collapsed="false">
      <c r="K482" s="0" t="s">
        <v>491</v>
      </c>
      <c r="L482" s="0" t="n">
        <f aca="false">VLOOKUP("apple",B1:C6,2,FALSE())</f>
        <v>10.5</v>
      </c>
    </row>
    <row r="483" customFormat="false" ht="12.8" hidden="false" customHeight="false" outlineLevel="0" collapsed="false">
      <c r="K483" s="0" t="s">
        <v>492</v>
      </c>
      <c r="L483" s="0" t="n">
        <f aca="false">VLOOKUP("APPLE",B1:C6,2,FALSE())</f>
        <v>10.5</v>
      </c>
    </row>
    <row r="484" customFormat="false" ht="12.8" hidden="false" customHeight="false" outlineLevel="0" collapsed="false">
      <c r="K484" s="0" t="s">
        <v>493</v>
      </c>
      <c r="L484" s="0" t="n">
        <f aca="false">VLOOKUP("fi*",B1:C6,2,FALSE())</f>
        <v>1000000</v>
      </c>
    </row>
    <row r="485" customFormat="false" ht="12.8" hidden="false" customHeight="false" outlineLevel="0" collapsed="false">
      <c r="K485" s="0" t="s">
        <v>494</v>
      </c>
      <c r="L485" s="0" t="n">
        <f aca="false">VLOOKUP(3,A1:C6,3,FALSE())</f>
        <v>0</v>
      </c>
    </row>
    <row r="486" customFormat="false" ht="12.8" hidden="false" customHeight="false" outlineLevel="0" collapsed="false">
      <c r="K486" s="0" t="s">
        <v>495</v>
      </c>
      <c r="L486" s="0" t="n">
        <f aca="false">VLOOKUP("3",A1:A6,1,FALSE())</f>
        <v>3</v>
      </c>
    </row>
    <row r="487" customFormat="false" ht="12.8" hidden="false" customHeight="false" outlineLevel="0" collapsed="false">
      <c r="K487" s="0" t="s">
        <v>496</v>
      </c>
      <c r="L487" s="0" t="e">
        <f aca="false">VLOOKUP(D4,F1:G4,2,FALSE())</f>
        <v>#N/A</v>
      </c>
    </row>
    <row r="488" customFormat="false" ht="12.8" hidden="false" customHeight="false" outlineLevel="0" collapsed="false">
      <c r="K488" s="0" t="s">
        <v>497</v>
      </c>
      <c r="L488" s="0" t="str">
        <f aca="false">VLOOKUP(300,F1:G4,2,0)</f>
        <v>three hundred</v>
      </c>
    </row>
    <row r="489" customFormat="false" ht="12.8" hidden="false" customHeight="false" outlineLevel="0" collapsed="false">
      <c r="K489" s="0" t="s">
        <v>498</v>
      </c>
      <c r="L489" s="0" t="n">
        <f aca="false">HLOOKUP(1,A1:F6,2,FALSE())</f>
        <v>2</v>
      </c>
    </row>
    <row r="490" customFormat="false" ht="12.8" hidden="false" customHeight="false" outlineLevel="0" collapsed="false">
      <c r="K490" s="0" t="s">
        <v>499</v>
      </c>
      <c r="L490" s="0" t="str">
        <f aca="false">HLOOKUP("apple",A1:F6,3,FALSE())</f>
        <v>cherry</v>
      </c>
    </row>
    <row r="491" customFormat="false" ht="12.8" hidden="false" customHeight="false" outlineLevel="0" collapsed="false">
      <c r="K491" s="0" t="s">
        <v>500</v>
      </c>
      <c r="L491" s="0" t="n">
        <f aca="false">HLOOKUP(TRUE(),A1:F6,2,FALSE())</f>
        <v>2</v>
      </c>
    </row>
    <row r="492" customFormat="false" ht="12.8" hidden="false" customHeight="false" outlineLevel="0" collapsed="false">
      <c r="K492" s="0" t="s">
        <v>501</v>
      </c>
      <c r="L492" s="0" t="n">
        <f aca="false">HLOOKUP(45306,A1:F6,2,FALSE())</f>
        <v>45657</v>
      </c>
    </row>
    <row r="493" customFormat="false" ht="12.8" hidden="false" customHeight="false" outlineLevel="0" collapsed="false">
      <c r="K493" s="0" t="s">
        <v>502</v>
      </c>
      <c r="L493" s="0" t="n">
        <f aca="false">HLOOKUP(100,A1:F6,4,FALSE())</f>
        <v>400</v>
      </c>
    </row>
    <row r="494" customFormat="false" ht="12.8" hidden="false" customHeight="false" outlineLevel="0" collapsed="false">
      <c r="K494" s="0" t="s">
        <v>503</v>
      </c>
      <c r="L494" s="0" t="e">
        <f aca="false">HLOOKUP(999,A1:F6,2,FALSE())</f>
        <v>#N/A</v>
      </c>
    </row>
    <row r="495" customFormat="false" ht="12.8" hidden="false" customHeight="false" outlineLevel="0" collapsed="false">
      <c r="K495" s="0" t="s">
        <v>504</v>
      </c>
      <c r="L495" s="0" t="e">
        <f aca="false">HLOOKUP(1,A1:F6,7,FALSE())</f>
        <v>#VALUE!</v>
      </c>
    </row>
    <row r="496" customFormat="false" ht="12.8" hidden="false" customHeight="false" outlineLevel="0" collapsed="false">
      <c r="K496" s="0" t="s">
        <v>505</v>
      </c>
      <c r="L496" s="0" t="e">
        <f aca="false">HLOOKUP(H1,A1:F6,2,FALSE())</f>
        <v>#DIV/0!</v>
      </c>
    </row>
    <row r="497" customFormat="false" ht="12.8" hidden="false" customHeight="false" outlineLevel="0" collapsed="false">
      <c r="K497" s="0" t="s">
        <v>506</v>
      </c>
      <c r="L497" s="0" t="e">
        <f aca="false">HLOOKUP(1,A1:F6,0,FALSE())</f>
        <v>#VALUE!</v>
      </c>
    </row>
    <row r="498" customFormat="false" ht="12.8" hidden="false" customHeight="false" outlineLevel="0" collapsed="false">
      <c r="K498" s="0" t="s">
        <v>507</v>
      </c>
      <c r="L498" s="0" t="n">
        <f aca="false">HLOOKUP(10.5,A1:F6,2,FALSE())</f>
        <v>-2</v>
      </c>
    </row>
    <row r="499" customFormat="false" ht="12.8" hidden="false" customHeight="false" outlineLevel="0" collapsed="false">
      <c r="K499" s="0" t="s">
        <v>508</v>
      </c>
      <c r="L499" s="0" t="str">
        <f aca="false">HLOOKUP("APPLE",A1:F6,5,FALSE())</f>
        <v>elderberry</v>
      </c>
    </row>
    <row r="500" customFormat="false" ht="12.8" hidden="false" customHeight="false" outlineLevel="0" collapsed="false">
      <c r="K500" s="0" t="s">
        <v>509</v>
      </c>
      <c r="L500" s="0" t="n">
        <f aca="false">HLOOKUP(1,A1:F6,1,FALSE())</f>
        <v>1</v>
      </c>
    </row>
    <row r="501" customFormat="false" ht="12.8" hidden="false" customHeight="false" outlineLevel="0" collapsed="false">
      <c r="K501" s="0" t="s">
        <v>510</v>
      </c>
      <c r="L501" s="0" t="n">
        <f aca="false">INDEX(A1:A6,3)</f>
        <v>3</v>
      </c>
    </row>
    <row r="502" customFormat="false" ht="12.8" hidden="false" customHeight="false" outlineLevel="0" collapsed="false">
      <c r="K502" s="0" t="s">
        <v>511</v>
      </c>
      <c r="L502" s="0" t="str">
        <f aca="false">INDEX(A1:C6,2,2)</f>
        <v>banana</v>
      </c>
    </row>
    <row r="503" customFormat="false" ht="12.8" hidden="false" customHeight="false" outlineLevel="0" collapsed="false">
      <c r="K503" s="0" t="s">
        <v>512</v>
      </c>
      <c r="L503" s="0" t="n">
        <f aca="false">INDEX(A1:C6,6,3)</f>
        <v>1000000</v>
      </c>
    </row>
    <row r="504" customFormat="false" ht="12.8" hidden="false" customHeight="false" outlineLevel="0" collapsed="false">
      <c r="K504" s="0" t="s">
        <v>513</v>
      </c>
      <c r="L504" s="0" t="e">
        <f aca="false">INDEX(A1:A6,10)</f>
        <v>#REF!</v>
      </c>
    </row>
    <row r="505" customFormat="false" ht="12.8" hidden="false" customHeight="false" outlineLevel="0" collapsed="false">
      <c r="K505" s="0" t="s">
        <v>514</v>
      </c>
      <c r="L505" s="0" t="e">
        <f aca="false">INDEX(A1:C6,2,5)</f>
        <v>#REF!</v>
      </c>
    </row>
    <row r="506" customFormat="false" ht="12.8" hidden="false" customHeight="false" outlineLevel="0" collapsed="false">
      <c r="K506" s="0" t="s">
        <v>515</v>
      </c>
      <c r="L506" s="0" t="n">
        <f aca="false">INDEX(D1:D6,4)</f>
        <v>0</v>
      </c>
    </row>
    <row r="507" customFormat="false" ht="12.8" hidden="false" customHeight="false" outlineLevel="0" collapsed="false">
      <c r="K507" s="0" t="s">
        <v>516</v>
      </c>
      <c r="L507" s="0" t="e">
        <f aca="false">INDEX(H1:H2,1)</f>
        <v>#DIV/0!</v>
      </c>
    </row>
    <row r="508" customFormat="false" ht="12.8" hidden="false" customHeight="false" outlineLevel="0" collapsed="false">
      <c r="K508" s="0" t="s">
        <v>517</v>
      </c>
      <c r="L508" s="0" t="e">
        <f aca="false">INDEX(A1:A6,H1)</f>
        <v>#DIV/0!</v>
      </c>
    </row>
    <row r="509" customFormat="false" ht="12.8" hidden="false" customHeight="false" outlineLevel="0" collapsed="false">
      <c r="K509" s="0" t="s">
        <v>518</v>
      </c>
      <c r="L509" s="0" t="e">
        <f aca="false">INDEX(A1:A6,-1)</f>
        <v>#VALUE!</v>
      </c>
    </row>
    <row r="510" customFormat="false" ht="12.8" hidden="false" customHeight="false" outlineLevel="0" collapsed="false">
      <c r="K510" s="0" t="s">
        <v>519</v>
      </c>
      <c r="L510" s="0" t="str">
        <f aca="false">INDEX(F1:G4,3,2)</f>
        <v>three hundred</v>
      </c>
    </row>
    <row r="511" customFormat="false" ht="12.8" hidden="false" customHeight="false" outlineLevel="0" collapsed="false">
      <c r="K511" s="0" t="s">
        <v>520</v>
      </c>
      <c r="L511" s="2" t="n">
        <f aca="false">INDEX(A1:F1,5)</f>
        <v>45306</v>
      </c>
    </row>
    <row r="512" customFormat="false" ht="12.8" hidden="false" customHeight="false" outlineLevel="0" collapsed="false">
      <c r="K512" s="0" t="s">
        <v>521</v>
      </c>
      <c r="L512" s="0" t="str">
        <f aca="false">INDEX(B1:B6,"2")</f>
        <v>banana</v>
      </c>
    </row>
    <row r="513" customFormat="false" ht="12.8" hidden="false" customHeight="false" outlineLevel="0" collapsed="false">
      <c r="K513" s="0" t="s">
        <v>522</v>
      </c>
      <c r="L513" s="0" t="n">
        <f aca="false">INDEX(A1:A6,2.9)</f>
        <v>2</v>
      </c>
    </row>
    <row r="514" customFormat="false" ht="12.8" hidden="false" customHeight="false" outlineLevel="0" collapsed="false">
      <c r="K514" s="0" t="s">
        <v>523</v>
      </c>
      <c r="L514" s="0" t="n">
        <f aca="false">INDEX(A1:C6,1,1)</f>
        <v>1</v>
      </c>
    </row>
    <row r="515" customFormat="false" ht="12.8" hidden="false" customHeight="false" outlineLevel="0" collapsed="false">
      <c r="K515" s="0" t="s">
        <v>524</v>
      </c>
      <c r="L515" s="0" t="n">
        <f aca="false">MATCH(3,A1:A6,0)</f>
        <v>3</v>
      </c>
    </row>
    <row r="516" customFormat="false" ht="12.8" hidden="false" customHeight="false" outlineLevel="0" collapsed="false">
      <c r="K516" s="0" t="s">
        <v>525</v>
      </c>
      <c r="L516" s="0" t="n">
        <f aca="false">MATCH(3.5,A1:A6,1)</f>
        <v>3</v>
      </c>
    </row>
    <row r="517" customFormat="false" ht="12.8" hidden="false" customHeight="false" outlineLevel="0" collapsed="false">
      <c r="K517" s="0" t="s">
        <v>526</v>
      </c>
      <c r="L517" s="0" t="n">
        <f aca="false">MATCH("cherry",B1:B6,0)</f>
        <v>3</v>
      </c>
    </row>
    <row r="518" customFormat="false" ht="12.8" hidden="false" customHeight="false" outlineLevel="0" collapsed="false">
      <c r="K518" s="0" t="s">
        <v>527</v>
      </c>
      <c r="L518" s="0" t="n">
        <f aca="false">MATCH("CHERRY",B1:B6,0)</f>
        <v>3</v>
      </c>
    </row>
    <row r="519" customFormat="false" ht="12.8" hidden="false" customHeight="false" outlineLevel="0" collapsed="false">
      <c r="K519" s="0" t="s">
        <v>528</v>
      </c>
      <c r="L519" s="0" t="e">
        <f aca="false">MATCH("zzz",B1:B6,0)</f>
        <v>#N/A</v>
      </c>
    </row>
    <row r="520" customFormat="false" ht="12.8" hidden="false" customHeight="false" outlineLevel="0" collapsed="false">
      <c r="K520" s="0" t="s">
        <v>529</v>
      </c>
      <c r="L520" s="0" t="n">
        <f aca="false">MATCH("c*",B1:B6,0)</f>
        <v>3</v>
      </c>
    </row>
    <row r="521" customFormat="false" ht="12.8" hidden="false" customHeight="false" outlineLevel="0" collapsed="false">
      <c r="K521" s="0" t="s">
        <v>530</v>
      </c>
      <c r="L521" s="0" t="e">
        <f aca="false">MATCH(0,A1:A6,1)</f>
        <v>#N/A</v>
      </c>
    </row>
    <row r="522" customFormat="false" ht="12.8" hidden="false" customHeight="false" outlineLevel="0" collapsed="false">
      <c r="K522" s="0" t="s">
        <v>531</v>
      </c>
      <c r="L522" s="0" t="n">
        <f aca="false">MATCH(100,F1:F4,0)</f>
        <v>1</v>
      </c>
    </row>
    <row r="523" customFormat="false" ht="12.8" hidden="false" customHeight="false" outlineLevel="0" collapsed="false">
      <c r="K523" s="0" t="s">
        <v>532</v>
      </c>
      <c r="L523" s="0" t="n">
        <f aca="false">MATCH(250,F1:F4,1)</f>
        <v>2</v>
      </c>
    </row>
    <row r="524" customFormat="false" ht="12.8" hidden="false" customHeight="false" outlineLevel="0" collapsed="false">
      <c r="K524" s="0" t="s">
        <v>533</v>
      </c>
      <c r="L524" s="0" t="n">
        <f aca="false">MATCH(500,F1:F4,1)</f>
        <v>4</v>
      </c>
    </row>
    <row r="525" customFormat="false" ht="12.8" hidden="false" customHeight="false" outlineLevel="0" collapsed="false">
      <c r="K525" s="0" t="s">
        <v>534</v>
      </c>
      <c r="L525" s="0" t="n">
        <f aca="false">MATCH(300,F1:F4)</f>
        <v>3</v>
      </c>
    </row>
    <row r="526" customFormat="false" ht="12.8" hidden="false" customHeight="false" outlineLevel="0" collapsed="false">
      <c r="K526" s="0" t="s">
        <v>535</v>
      </c>
      <c r="L526" s="0" t="e">
        <f aca="false">MATCH(H1,A1:A6,0)</f>
        <v>#DIV/0!</v>
      </c>
    </row>
    <row r="527" customFormat="false" ht="12.8" hidden="false" customHeight="false" outlineLevel="0" collapsed="false">
      <c r="K527" s="0" t="s">
        <v>536</v>
      </c>
      <c r="L527" s="0" t="e">
        <f aca="false">MATCH(D4,A1:A6,0)</f>
        <v>#N/A</v>
      </c>
    </row>
    <row r="528" customFormat="false" ht="12.8" hidden="false" customHeight="false" outlineLevel="0" collapsed="false">
      <c r="K528" s="0" t="s">
        <v>537</v>
      </c>
      <c r="L528" s="0" t="n">
        <f aca="false">MATCH(TRUE(),D1:D6,0)</f>
        <v>1</v>
      </c>
    </row>
    <row r="529" customFormat="false" ht="12.8" hidden="false" customHeight="false" outlineLevel="0" collapsed="false">
      <c r="K529" s="0" t="s">
        <v>538</v>
      </c>
      <c r="L529" s="0" t="n">
        <f aca="false">MATCH(FALSE(),D1:D6,0)</f>
        <v>2</v>
      </c>
    </row>
    <row r="530" customFormat="false" ht="12.8" hidden="false" customHeight="false" outlineLevel="0" collapsed="false">
      <c r="K530" s="0" t="s">
        <v>539</v>
      </c>
      <c r="L530" s="0" t="n">
        <f aca="false">MATCH("fig",B1:B6,0)</f>
        <v>6</v>
      </c>
    </row>
    <row r="531" customFormat="false" ht="12.8" hidden="false" customHeight="false" outlineLevel="0" collapsed="false">
      <c r="K531" s="0" t="s">
        <v>540</v>
      </c>
      <c r="L531" s="0" t="n">
        <f aca="false">MATCH("",D1:D6,0)</f>
        <v>3</v>
      </c>
    </row>
    <row r="532" customFormat="false" ht="12.8" hidden="false" customHeight="false" outlineLevel="0" collapsed="false">
      <c r="K532" s="0" t="s">
        <v>541</v>
      </c>
      <c r="L532" s="0" t="str">
        <f aca="false">CHOOSE(1,"a","b","c")</f>
        <v>a</v>
      </c>
    </row>
    <row r="533" customFormat="false" ht="12.8" hidden="false" customHeight="false" outlineLevel="0" collapsed="false">
      <c r="K533" s="0" t="s">
        <v>542</v>
      </c>
      <c r="L533" s="0" t="str">
        <f aca="false">CHOOSE(3,"a","b","c")</f>
        <v>c</v>
      </c>
    </row>
    <row r="534" customFormat="false" ht="12.8" hidden="false" customHeight="false" outlineLevel="0" collapsed="false">
      <c r="K534" s="0" t="s">
        <v>543</v>
      </c>
      <c r="L534" s="0" t="str">
        <f aca="false">CHOOSE(2.9,"a","b","c")</f>
        <v>b</v>
      </c>
    </row>
    <row r="535" customFormat="false" ht="12.8" hidden="false" customHeight="false" outlineLevel="0" collapsed="false">
      <c r="K535" s="0" t="s">
        <v>544</v>
      </c>
      <c r="L535" s="0" t="e">
        <f aca="false">CHOOSE(0,"a","b")</f>
        <v>#VALUE!</v>
      </c>
    </row>
    <row r="536" customFormat="false" ht="12.8" hidden="false" customHeight="false" outlineLevel="0" collapsed="false">
      <c r="K536" s="0" t="s">
        <v>545</v>
      </c>
      <c r="L536" s="0" t="e">
        <f aca="false">CHOOSE(4,"a","b","c")</f>
        <v>#VALUE!</v>
      </c>
    </row>
    <row r="537" customFormat="false" ht="12.8" hidden="false" customHeight="false" outlineLevel="0" collapsed="false">
      <c r="K537" s="0" t="s">
        <v>546</v>
      </c>
      <c r="L537" s="0" t="str">
        <f aca="false">CHOOSE(A2,B1,B2,B3)</f>
        <v>banana</v>
      </c>
    </row>
    <row r="538" customFormat="false" ht="12.8" hidden="false" customHeight="false" outlineLevel="0" collapsed="false">
      <c r="K538" s="0" t="s">
        <v>547</v>
      </c>
      <c r="L538" s="0" t="e">
        <f aca="false">CHOOSE(H1,1,2)</f>
        <v>#DIV/0!</v>
      </c>
    </row>
    <row r="539" customFormat="false" ht="12.8" hidden="false" customHeight="false" outlineLevel="0" collapsed="false">
      <c r="K539" s="0" t="s">
        <v>548</v>
      </c>
      <c r="L539" s="0" t="e">
        <f aca="false">CHOOSE(2,1,1/0)</f>
        <v>#DIV/0!</v>
      </c>
    </row>
    <row r="540" customFormat="false" ht="12.8" hidden="false" customHeight="false" outlineLevel="0" collapsed="false">
      <c r="K540" s="0" t="s">
        <v>549</v>
      </c>
      <c r="L540" s="0" t="n">
        <f aca="false">CHOOSE(1,1,1/0)</f>
        <v>1</v>
      </c>
    </row>
    <row r="541" customFormat="false" ht="12.8" hidden="false" customHeight="false" outlineLevel="0" collapsed="false">
      <c r="K541" s="0" t="s">
        <v>550</v>
      </c>
      <c r="L541" s="0" t="str">
        <f aca="false">CHOOSE("2","a","b")</f>
        <v>b</v>
      </c>
    </row>
    <row r="542" customFormat="false" ht="12.8" hidden="false" customHeight="false" outlineLevel="0" collapsed="false">
      <c r="K542" s="0" t="s">
        <v>551</v>
      </c>
      <c r="L542" s="0" t="str">
        <f aca="false">CHOOSE(TRUE(),"a","b")</f>
        <v>a</v>
      </c>
    </row>
    <row r="543" customFormat="false" ht="12.8" hidden="false" customHeight="false" outlineLevel="0" collapsed="false">
      <c r="K543" s="0" t="s">
        <v>552</v>
      </c>
      <c r="L543" s="0" t="n">
        <f aca="false">CHOOSE(2,A1,D4)</f>
        <v>0</v>
      </c>
    </row>
    <row r="544" customFormat="false" ht="12.8" hidden="false" customHeight="false" outlineLevel="0" collapsed="false">
      <c r="K544" s="0" t="s">
        <v>553</v>
      </c>
      <c r="L544" s="0" t="n">
        <f aca="false">ROW(A1)</f>
        <v>1</v>
      </c>
    </row>
    <row r="545" customFormat="false" ht="12.8" hidden="false" customHeight="false" outlineLevel="0" collapsed="false">
      <c r="K545" s="0" t="s">
        <v>554</v>
      </c>
      <c r="L545" s="0" t="n">
        <f aca="false">ROW(C5)</f>
        <v>5</v>
      </c>
    </row>
    <row r="546" customFormat="false" ht="12.8" hidden="false" customHeight="false" outlineLevel="0" collapsed="false">
      <c r="K546" s="0" t="s">
        <v>555</v>
      </c>
      <c r="L546" s="0" t="n">
        <f aca="false">SUM(ROW(B2:B4))</f>
        <v>9</v>
      </c>
    </row>
    <row r="547" customFormat="false" ht="12.8" hidden="false" customHeight="false" outlineLevel="0" collapsed="false">
      <c r="K547" s="0" t="s">
        <v>556</v>
      </c>
      <c r="L547" s="0" t="n">
        <f aca="false">ROW(Other!A5)</f>
        <v>5</v>
      </c>
    </row>
    <row r="548" customFormat="false" ht="12.8" hidden="false" customHeight="false" outlineLevel="0" collapsed="false">
      <c r="K548" s="0" t="s">
        <v>557</v>
      </c>
      <c r="L548" s="0" t="n">
        <f aca="false">ROW(Z100)</f>
        <v>100</v>
      </c>
    </row>
    <row r="549" customFormat="false" ht="12.8" hidden="false" customHeight="false" outlineLevel="0" collapsed="false">
      <c r="K549" s="0" t="s">
        <v>558</v>
      </c>
      <c r="L549" s="0" t="n">
        <f aca="false">ROW(H1)</f>
        <v>1</v>
      </c>
    </row>
    <row r="550" customFormat="false" ht="12.8" hidden="false" customHeight="false" outlineLevel="0" collapsed="false">
      <c r="K550" s="0" t="s">
        <v>559</v>
      </c>
      <c r="L550" s="0" t="n">
        <f aca="false">ROW(INDEX(A1:A6,3))</f>
        <v>3</v>
      </c>
    </row>
    <row r="551" customFormat="false" ht="12.8" hidden="false" customHeight="false" outlineLevel="0" collapsed="false">
      <c r="K551" s="0" t="s">
        <v>560</v>
      </c>
      <c r="L551" s="0" t="n">
        <f aca="false">ROW(D4)+1</f>
        <v>5</v>
      </c>
    </row>
    <row r="552" customFormat="false" ht="12.8" hidden="false" customHeight="false" outlineLevel="0" collapsed="false">
      <c r="K552" s="0" t="s">
        <v>561</v>
      </c>
      <c r="L552" s="0" t="n">
        <f aca="false">COLUMN(A1)</f>
        <v>1</v>
      </c>
    </row>
    <row r="553" customFormat="false" ht="12.8" hidden="false" customHeight="false" outlineLevel="0" collapsed="false">
      <c r="K553" s="0" t="s">
        <v>562</v>
      </c>
      <c r="L553" s="0" t="n">
        <f aca="false">COLUMN(C5)</f>
        <v>3</v>
      </c>
    </row>
    <row r="554" customFormat="false" ht="12.8" hidden="false" customHeight="false" outlineLevel="0" collapsed="false">
      <c r="K554" s="0" t="s">
        <v>563</v>
      </c>
      <c r="L554" s="0" t="n">
        <f aca="false">COLUMN(AA1)</f>
        <v>27</v>
      </c>
    </row>
    <row r="555" customFormat="false" ht="12.8" hidden="false" customHeight="false" outlineLevel="0" collapsed="false">
      <c r="K555" s="0" t="s">
        <v>564</v>
      </c>
      <c r="L555" s="0" t="n">
        <f aca="false">COLUMN(Other!B1)</f>
        <v>2</v>
      </c>
    </row>
    <row r="556" customFormat="false" ht="12.8" hidden="false" customHeight="false" outlineLevel="0" collapsed="false">
      <c r="K556" s="0" t="s">
        <v>565</v>
      </c>
      <c r="L556" s="0" t="n">
        <f aca="false">COLUMN(H1)</f>
        <v>8</v>
      </c>
    </row>
    <row r="557" customFormat="false" ht="12.8" hidden="false" customHeight="false" outlineLevel="0" collapsed="false">
      <c r="K557" s="0" t="s">
        <v>566</v>
      </c>
      <c r="L557" s="0" t="n">
        <f aca="false">SUM(COLUMN(A1:C1))</f>
        <v>6</v>
      </c>
    </row>
    <row r="558" customFormat="false" ht="12.8" hidden="false" customHeight="false" outlineLevel="0" collapsed="false">
      <c r="K558" s="0" t="s">
        <v>567</v>
      </c>
      <c r="L558" s="0" t="n">
        <f aca="false">COLUMN(INDEX(A1:H6,1,5))</f>
        <v>5</v>
      </c>
    </row>
    <row r="559" customFormat="false" ht="12.8" hidden="false" customHeight="false" outlineLevel="0" collapsed="false">
      <c r="K559" s="0" t="s">
        <v>568</v>
      </c>
      <c r="L559" s="0" t="n">
        <f aca="false">COLUMN(XFD1)</f>
        <v>16384</v>
      </c>
    </row>
    <row r="560" customFormat="false" ht="12.8" hidden="false" customHeight="false" outlineLevel="0" collapsed="false">
      <c r="K560" s="0" t="s">
        <v>569</v>
      </c>
      <c r="L560" s="3" t="n">
        <f aca="true">TODAY()</f>
        <v>46312</v>
      </c>
    </row>
    <row r="561" customFormat="false" ht="12.8" hidden="false" customHeight="false" outlineLevel="0" collapsed="false">
      <c r="K561" s="0" t="s">
        <v>570</v>
      </c>
      <c r="L561" s="1" t="b">
        <f aca="true">INT(TODAY())=TODAY()</f>
        <v>1</v>
      </c>
    </row>
    <row r="562" customFormat="false" ht="12.8" hidden="false" customHeight="false" outlineLevel="0" collapsed="false">
      <c r="K562" s="0" t="s">
        <v>571</v>
      </c>
      <c r="L562" s="1" t="b">
        <f aca="true">TODAY()&gt;45306</f>
        <v>1</v>
      </c>
    </row>
    <row r="563" customFormat="false" ht="12.8" hidden="false" customHeight="false" outlineLevel="0" collapsed="false">
      <c r="K563" s="0" t="s">
        <v>572</v>
      </c>
      <c r="L563" s="1" t="b">
        <f aca="true">YEAR(TODAY())&gt;=2024</f>
        <v>1</v>
      </c>
    </row>
    <row r="564" customFormat="false" ht="12.8" hidden="false" customHeight="false" outlineLevel="0" collapsed="false">
      <c r="K564" s="0" t="s">
        <v>573</v>
      </c>
      <c r="L564" s="0" t="n">
        <f aca="true">TODAY()-TODAY()</f>
        <v>0</v>
      </c>
    </row>
    <row r="565" customFormat="false" ht="12.8" hidden="false" customHeight="false" outlineLevel="0" collapsed="false">
      <c r="K565" s="0" t="s">
        <v>574</v>
      </c>
      <c r="L565" s="0" t="e">
        <f aca="true">TODAY()+H1</f>
        <v>#DIV/0!</v>
      </c>
    </row>
    <row r="566" customFormat="false" ht="12.8" hidden="false" customHeight="false" outlineLevel="0" collapsed="false">
      <c r="K566" s="0" t="s">
        <v>575</v>
      </c>
      <c r="L566" s="1" t="b">
        <f aca="true">ISNUMBER(TODAY())</f>
        <v>1</v>
      </c>
    </row>
    <row r="567" customFormat="false" ht="12.8" hidden="false" customHeight="false" outlineLevel="0" collapsed="false">
      <c r="K567" s="0" t="s">
        <v>576</v>
      </c>
      <c r="L567" s="1" t="b">
        <f aca="true">TODAY()-E1&gt;0</f>
        <v>1</v>
      </c>
    </row>
    <row r="568" customFormat="false" ht="12.8" hidden="false" customHeight="false" outlineLevel="0" collapsed="false">
      <c r="K568" s="0" t="s">
        <v>577</v>
      </c>
      <c r="L568" s="4" t="n">
        <f aca="true">NOW()</f>
        <v>46312.7703913421</v>
      </c>
    </row>
    <row r="569" customFormat="false" ht="12.8" hidden="false" customHeight="false" outlineLevel="0" collapsed="false">
      <c r="K569" s="0" t="s">
        <v>578</v>
      </c>
      <c r="L569" s="1" t="b">
        <f aca="true">NOW()&gt;=TODAY()</f>
        <v>1</v>
      </c>
    </row>
    <row r="570" customFormat="false" ht="12.8" hidden="false" customHeight="false" outlineLevel="0" collapsed="false">
      <c r="K570" s="0" t="s">
        <v>579</v>
      </c>
      <c r="L570" s="1" t="b">
        <f aca="true">INT(NOW())=TODAY()</f>
        <v>1</v>
      </c>
    </row>
    <row r="571" customFormat="false" ht="12.8" hidden="false" customHeight="false" outlineLevel="0" collapsed="false">
      <c r="K571" s="0" t="s">
        <v>580</v>
      </c>
      <c r="L571" s="1" t="b">
        <f aca="true">ISNUMBER(NOW())</f>
        <v>1</v>
      </c>
    </row>
    <row r="572" customFormat="false" ht="12.8" hidden="false" customHeight="false" outlineLevel="0" collapsed="false">
      <c r="K572" s="0" t="s">
        <v>581</v>
      </c>
      <c r="L572" s="5" t="e">
        <f aca="true">NOW()+H1</f>
        <v>#DIV/0!</v>
      </c>
    </row>
    <row r="573" customFormat="false" ht="12.8" hidden="false" customHeight="false" outlineLevel="0" collapsed="false">
      <c r="K573" s="0" t="s">
        <v>582</v>
      </c>
      <c r="L573" s="1" t="b">
        <f aca="true">MOD(NOW(),1)&lt;1</f>
        <v>1</v>
      </c>
    </row>
    <row r="574" customFormat="false" ht="12.8" hidden="false" customHeight="false" outlineLevel="0" collapsed="false">
      <c r="K574" s="0" t="s">
        <v>583</v>
      </c>
      <c r="L574" s="1" t="b">
        <f aca="true">NOW()&gt;E1</f>
        <v>1</v>
      </c>
    </row>
    <row r="575" customFormat="false" ht="12.8" hidden="false" customHeight="false" outlineLevel="0" collapsed="false">
      <c r="K575" s="0" t="s">
        <v>584</v>
      </c>
      <c r="L575" s="1" t="b">
        <f aca="true">NOW()-TODAY()&lt;1</f>
        <v>1</v>
      </c>
    </row>
    <row r="576" customFormat="false" ht="12.8" hidden="false" customHeight="false" outlineLevel="0" collapsed="false">
      <c r="K576" s="0" t="s">
        <v>585</v>
      </c>
      <c r="L576" s="3" t="n">
        <f aca="false">DATE(2024,1,15)</f>
        <v>45306</v>
      </c>
    </row>
    <row r="577" customFormat="false" ht="12.8" hidden="false" customHeight="false" outlineLevel="0" collapsed="false">
      <c r="K577" s="0" t="s">
        <v>586</v>
      </c>
      <c r="L577" s="3" t="n">
        <f aca="false">DATE(2024,13,1)</f>
        <v>45658</v>
      </c>
    </row>
    <row r="578" customFormat="false" ht="12.8" hidden="false" customHeight="false" outlineLevel="0" collapsed="false">
      <c r="K578" s="0" t="s">
        <v>587</v>
      </c>
      <c r="L578" s="3" t="n">
        <f aca="false">DATE(2024,1,0)</f>
        <v>45291</v>
      </c>
    </row>
    <row r="579" customFormat="false" ht="12.8" hidden="false" customHeight="false" outlineLevel="0" collapsed="false">
      <c r="K579" s="0" t="s">
        <v>588</v>
      </c>
      <c r="L579" s="3" t="n">
        <f aca="false">DATE(2024,2,30)</f>
        <v>45352</v>
      </c>
    </row>
    <row r="580" customFormat="false" ht="12.8" hidden="false" customHeight="false" outlineLevel="0" collapsed="false">
      <c r="K580" s="0" t="s">
        <v>589</v>
      </c>
      <c r="L580" s="3" t="n">
        <f aca="false">DATE(1900,1,1)</f>
        <v>2</v>
      </c>
    </row>
    <row r="581" customFormat="false" ht="12.8" hidden="false" customHeight="false" outlineLevel="0" collapsed="false">
      <c r="K581" s="0" t="s">
        <v>590</v>
      </c>
      <c r="L581" s="3" t="n">
        <f aca="false">DATE(2024,0,1)</f>
        <v>45261</v>
      </c>
    </row>
    <row r="582" customFormat="false" ht="12.8" hidden="false" customHeight="false" outlineLevel="0" collapsed="false">
      <c r="K582" s="0" t="s">
        <v>591</v>
      </c>
      <c r="L582" s="3" t="n">
        <f aca="false">DATE(YEAR(E1),MONTH(E1),DAY(E1))</f>
        <v>45306</v>
      </c>
    </row>
    <row r="583" customFormat="false" ht="12.8" hidden="false" customHeight="false" outlineLevel="0" collapsed="false">
      <c r="K583" s="0" t="s">
        <v>592</v>
      </c>
      <c r="L583" s="3" t="e">
        <f aca="false">DATE(H1,1,1)</f>
        <v>#DIV/0!</v>
      </c>
    </row>
    <row r="584" customFormat="false" ht="12.8" hidden="false" customHeight="false" outlineLevel="0" collapsed="false">
      <c r="K584" s="0" t="s">
        <v>593</v>
      </c>
      <c r="L584" s="3" t="n">
        <f aca="false">DATE(1,1,1)</f>
        <v>36892</v>
      </c>
    </row>
    <row r="585" customFormat="false" ht="12.8" hidden="false" customHeight="false" outlineLevel="0" collapsed="false">
      <c r="K585" s="0" t="s">
        <v>594</v>
      </c>
      <c r="L585" s="3" t="n">
        <f aca="false">DATE(2024,-1,1)</f>
        <v>45231</v>
      </c>
    </row>
    <row r="586" customFormat="false" ht="12.8" hidden="false" customHeight="false" outlineLevel="0" collapsed="false">
      <c r="K586" s="0" t="s">
        <v>595</v>
      </c>
      <c r="L586" s="3" t="n">
        <f aca="false">DATE("2024","1","15")</f>
        <v>45306</v>
      </c>
    </row>
    <row r="587" customFormat="false" ht="12.8" hidden="false" customHeight="false" outlineLevel="0" collapsed="false">
      <c r="K587" s="0" t="s">
        <v>596</v>
      </c>
      <c r="L587" s="3" t="n">
        <f aca="false">DATE(2024,1,15.9)</f>
        <v>45306</v>
      </c>
    </row>
    <row r="588" customFormat="false" ht="12.8" hidden="false" customHeight="false" outlineLevel="0" collapsed="false">
      <c r="K588" s="0" t="s">
        <v>597</v>
      </c>
      <c r="L588" s="3" t="n">
        <f aca="false">DATE(10000,1,1)</f>
        <v>2958466</v>
      </c>
    </row>
    <row r="589" customFormat="false" ht="12.8" hidden="false" customHeight="false" outlineLevel="0" collapsed="false">
      <c r="K589" s="0" t="s">
        <v>598</v>
      </c>
      <c r="L589" s="3" t="n">
        <f aca="false">DATE(2024,1,D4)</f>
        <v>45291</v>
      </c>
    </row>
    <row r="590" customFormat="false" ht="12.8" hidden="false" customHeight="false" outlineLevel="0" collapsed="false">
      <c r="K590" s="0" t="s">
        <v>599</v>
      </c>
      <c r="L590" s="0" t="n">
        <f aca="false">YEAR(45306)</f>
        <v>2024</v>
      </c>
    </row>
    <row r="591" customFormat="false" ht="12.8" hidden="false" customHeight="false" outlineLevel="0" collapsed="false">
      <c r="K591" s="0" t="s">
        <v>600</v>
      </c>
      <c r="L591" s="0" t="n">
        <f aca="false">YEAR(E1)</f>
        <v>2024</v>
      </c>
    </row>
    <row r="592" customFormat="false" ht="12.8" hidden="false" customHeight="false" outlineLevel="0" collapsed="false">
      <c r="K592" s="0" t="s">
        <v>601</v>
      </c>
      <c r="L592" s="0" t="n">
        <f aca="false">YEAR(E3)</f>
        <v>2024</v>
      </c>
    </row>
    <row r="593" customFormat="false" ht="12.8" hidden="false" customHeight="false" outlineLevel="0" collapsed="false">
      <c r="K593" s="0" t="s">
        <v>602</v>
      </c>
      <c r="L593" s="0" t="n">
        <f aca="false">YEAR(0)</f>
        <v>1899</v>
      </c>
    </row>
    <row r="594" customFormat="false" ht="12.8" hidden="false" customHeight="false" outlineLevel="0" collapsed="false">
      <c r="K594" s="0" t="s">
        <v>603</v>
      </c>
      <c r="L594" s="0" t="n">
        <f aca="false">YEAR(-1)</f>
        <v>1899</v>
      </c>
    </row>
    <row r="595" customFormat="false" ht="12.8" hidden="false" customHeight="false" outlineLevel="0" collapsed="false">
      <c r="K595" s="0" t="s">
        <v>604</v>
      </c>
      <c r="L595" s="0" t="n">
        <f aca="false">YEAR("2024-01-15")</f>
        <v>2024</v>
      </c>
    </row>
    <row r="596" customFormat="false" ht="12.8" hidden="false" customHeight="false" outlineLevel="0" collapsed="false">
      <c r="K596" s="0" t="s">
        <v>605</v>
      </c>
      <c r="L596" s="0" t="e">
        <f aca="false">YEAR(H1)</f>
        <v>#DIV/0!</v>
      </c>
    </row>
    <row r="597" customFormat="false" ht="12.8" hidden="false" customHeight="false" outlineLevel="0" collapsed="false">
      <c r="K597" s="0" t="s">
        <v>606</v>
      </c>
      <c r="L597" s="0" t="n">
        <f aca="false">YEAR(D4)</f>
        <v>1899</v>
      </c>
    </row>
    <row r="598" customFormat="false" ht="12.8" hidden="false" customHeight="false" outlineLevel="0" collapsed="false">
      <c r="K598" s="0" t="s">
        <v>607</v>
      </c>
      <c r="L598" s="0" t="n">
        <f aca="false">YEAR(E4)</f>
        <v>1899</v>
      </c>
    </row>
    <row r="599" customFormat="false" ht="12.8" hidden="false" customHeight="false" outlineLevel="0" collapsed="false">
      <c r="K599" s="0" t="s">
        <v>608</v>
      </c>
      <c r="L599" s="0" t="n">
        <f aca="false">YEAR(DATE(2000,2,29))</f>
        <v>2000</v>
      </c>
    </row>
    <row r="600" customFormat="false" ht="12.8" hidden="false" customHeight="false" outlineLevel="0" collapsed="false">
      <c r="K600" s="0" t="s">
        <v>609</v>
      </c>
      <c r="L600" s="0" t="e">
        <f aca="false">YEAR(B1)</f>
        <v>#VALUE!</v>
      </c>
    </row>
    <row r="601" customFormat="false" ht="12.8" hidden="false" customHeight="false" outlineLevel="0" collapsed="false">
      <c r="K601" s="0" t="s">
        <v>610</v>
      </c>
      <c r="L601" s="0" t="n">
        <f aca="false">YEAR(2958465)</f>
        <v>9999</v>
      </c>
    </row>
    <row r="602" customFormat="false" ht="12.8" hidden="false" customHeight="false" outlineLevel="0" collapsed="false">
      <c r="K602" s="0" t="s">
        <v>611</v>
      </c>
      <c r="L602" s="0" t="n">
        <f aca="false">MONTH(E1)</f>
        <v>1</v>
      </c>
    </row>
    <row r="603" customFormat="false" ht="12.8" hidden="false" customHeight="false" outlineLevel="0" collapsed="false">
      <c r="K603" s="0" t="s">
        <v>612</v>
      </c>
      <c r="L603" s="0" t="n">
        <f aca="false">MONTH(E2)</f>
        <v>12</v>
      </c>
    </row>
    <row r="604" customFormat="false" ht="12.8" hidden="false" customHeight="false" outlineLevel="0" collapsed="false">
      <c r="K604" s="0" t="s">
        <v>613</v>
      </c>
      <c r="L604" s="0" t="n">
        <f aca="false">MONTH(45306.75)</f>
        <v>1</v>
      </c>
    </row>
    <row r="605" customFormat="false" ht="12.8" hidden="false" customHeight="false" outlineLevel="0" collapsed="false">
      <c r="K605" s="0" t="s">
        <v>614</v>
      </c>
      <c r="L605" s="0" t="n">
        <f aca="false">MONTH(0)</f>
        <v>12</v>
      </c>
    </row>
    <row r="606" customFormat="false" ht="12.8" hidden="false" customHeight="false" outlineLevel="0" collapsed="false">
      <c r="K606" s="0" t="s">
        <v>615</v>
      </c>
      <c r="L606" s="0" t="n">
        <f aca="false">MONTH(-1)</f>
        <v>12</v>
      </c>
    </row>
    <row r="607" customFormat="false" ht="12.8" hidden="false" customHeight="false" outlineLevel="0" collapsed="false">
      <c r="K607" s="0" t="s">
        <v>616</v>
      </c>
      <c r="L607" s="0" t="e">
        <f aca="false">MONTH(H1)</f>
        <v>#DIV/0!</v>
      </c>
    </row>
    <row r="608" customFormat="false" ht="12.8" hidden="false" customHeight="false" outlineLevel="0" collapsed="false">
      <c r="K608" s="0" t="s">
        <v>617</v>
      </c>
      <c r="L608" s="0" t="n">
        <f aca="false">MONTH("2024-12-31")</f>
        <v>12</v>
      </c>
    </row>
    <row r="609" customFormat="false" ht="12.8" hidden="false" customHeight="false" outlineLevel="0" collapsed="false">
      <c r="K609" s="0" t="s">
        <v>618</v>
      </c>
      <c r="L609" s="0" t="n">
        <f aca="false">MONTH(D4)</f>
        <v>12</v>
      </c>
    </row>
    <row r="610" customFormat="false" ht="12.8" hidden="false" customHeight="false" outlineLevel="0" collapsed="false">
      <c r="K610" s="0" t="s">
        <v>619</v>
      </c>
      <c r="L610" s="0" t="n">
        <f aca="false">MONTH(DATE(2024,2,30))</f>
        <v>3</v>
      </c>
    </row>
    <row r="611" customFormat="false" ht="12.8" hidden="false" customHeight="false" outlineLevel="0" collapsed="false">
      <c r="K611" s="0" t="s">
        <v>620</v>
      </c>
      <c r="L611" s="0" t="e">
        <f aca="false">MONTH(B1)</f>
        <v>#VALUE!</v>
      </c>
    </row>
    <row r="612" customFormat="false" ht="12.8" hidden="false" customHeight="false" outlineLevel="0" collapsed="false">
      <c r="K612" s="0" t="s">
        <v>621</v>
      </c>
      <c r="L612" s="0" t="n">
        <f aca="false">MONTH(60)</f>
        <v>2</v>
      </c>
    </row>
    <row r="613" customFormat="false" ht="12.8" hidden="false" customHeight="false" outlineLevel="0" collapsed="false">
      <c r="K613" s="0" t="s">
        <v>622</v>
      </c>
      <c r="L613" s="0" t="n">
        <f aca="false">MONTH(59)</f>
        <v>2</v>
      </c>
    </row>
    <row r="614" customFormat="false" ht="12.8" hidden="false" customHeight="false" outlineLevel="0" collapsed="false">
      <c r="K614" s="0" t="s">
        <v>623</v>
      </c>
      <c r="L614" s="0" t="n">
        <f aca="false">DAY(E1)</f>
        <v>15</v>
      </c>
    </row>
    <row r="615" customFormat="false" ht="12.8" hidden="false" customHeight="false" outlineLevel="0" collapsed="false">
      <c r="K615" s="0" t="s">
        <v>624</v>
      </c>
      <c r="L615" s="0" t="n">
        <f aca="false">DAY(E2)</f>
        <v>31</v>
      </c>
    </row>
    <row r="616" customFormat="false" ht="12.8" hidden="false" customHeight="false" outlineLevel="0" collapsed="false">
      <c r="K616" s="0" t="s">
        <v>625</v>
      </c>
      <c r="L616" s="0" t="n">
        <f aca="false">DAY(E3)</f>
        <v>15</v>
      </c>
    </row>
    <row r="617" customFormat="false" ht="12.8" hidden="false" customHeight="false" outlineLevel="0" collapsed="false">
      <c r="K617" s="0" t="s">
        <v>626</v>
      </c>
      <c r="L617" s="0" t="n">
        <f aca="false">DAY(0)</f>
        <v>30</v>
      </c>
    </row>
    <row r="618" customFormat="false" ht="12.8" hidden="false" customHeight="false" outlineLevel="0" collapsed="false">
      <c r="K618" s="0" t="s">
        <v>627</v>
      </c>
      <c r="L618" s="0" t="n">
        <f aca="false">DAY(1)</f>
        <v>31</v>
      </c>
    </row>
    <row r="619" customFormat="false" ht="12.8" hidden="false" customHeight="false" outlineLevel="0" collapsed="false">
      <c r="K619" s="0" t="s">
        <v>628</v>
      </c>
      <c r="L619" s="0" t="e">
        <f aca="false">DAY(H1)</f>
        <v>#DIV/0!</v>
      </c>
    </row>
    <row r="620" customFormat="false" ht="12.8" hidden="false" customHeight="false" outlineLevel="0" collapsed="false">
      <c r="K620" s="0" t="s">
        <v>629</v>
      </c>
      <c r="L620" s="0" t="n">
        <f aca="false">DAY("2024-01-15")</f>
        <v>15</v>
      </c>
    </row>
    <row r="621" customFormat="false" ht="12.8" hidden="false" customHeight="false" outlineLevel="0" collapsed="false">
      <c r="K621" s="0" t="s">
        <v>630</v>
      </c>
      <c r="L621" s="0" t="n">
        <f aca="false">DAY(D4)</f>
        <v>30</v>
      </c>
    </row>
    <row r="622" customFormat="false" ht="12.8" hidden="false" customHeight="false" outlineLevel="0" collapsed="false">
      <c r="K622" s="0" t="s">
        <v>631</v>
      </c>
      <c r="L622" s="0" t="e">
        <f aca="false">DAY(B1)</f>
        <v>#VALUE!</v>
      </c>
    </row>
    <row r="623" customFormat="false" ht="12.8" hidden="false" customHeight="false" outlineLevel="0" collapsed="false">
      <c r="K623" s="0" t="s">
        <v>632</v>
      </c>
      <c r="L623" s="0" t="n">
        <f aca="false">DAY(DATE(2024,3,0))</f>
        <v>29</v>
      </c>
    </row>
    <row r="624" customFormat="false" ht="12.8" hidden="false" customHeight="false" outlineLevel="0" collapsed="false">
      <c r="K624" s="0" t="s">
        <v>633</v>
      </c>
      <c r="L624" s="0" t="n">
        <f aca="false">DAY(-1)</f>
        <v>29</v>
      </c>
    </row>
    <row r="625" customFormat="false" ht="12.8" hidden="false" customHeight="false" outlineLevel="0" collapsed="false">
      <c r="K625" s="0" t="s">
        <v>634</v>
      </c>
      <c r="L625" s="0" t="n">
        <f aca="false">DAY(60)</f>
        <v>28</v>
      </c>
    </row>
    <row r="626" customFormat="false" ht="12.8" hidden="false" customHeight="false" outlineLevel="0" collapsed="false">
      <c r="K626" s="0" t="s">
        <v>635</v>
      </c>
      <c r="L626" s="0" t="n">
        <f aca="false">WEEKDAY(E1)</f>
        <v>2</v>
      </c>
    </row>
    <row r="627" customFormat="false" ht="12.8" hidden="false" customHeight="false" outlineLevel="0" collapsed="false">
      <c r="K627" s="0" t="s">
        <v>636</v>
      </c>
      <c r="L627" s="0" t="n">
        <f aca="false">WEEKDAY(E1,2)</f>
        <v>1</v>
      </c>
    </row>
    <row r="628" customFormat="false" ht="12.8" hidden="false" customHeight="false" outlineLevel="0" collapsed="false">
      <c r="K628" s="0" t="s">
        <v>637</v>
      </c>
      <c r="L628" s="0" t="n">
        <f aca="false">WEEKDAY(E1,3)</f>
        <v>0</v>
      </c>
    </row>
    <row r="629" customFormat="false" ht="12.8" hidden="false" customHeight="false" outlineLevel="0" collapsed="false">
      <c r="K629" s="0" t="s">
        <v>638</v>
      </c>
      <c r="L629" s="0" t="n">
        <f aca="false">WEEKDAY(E2)</f>
        <v>3</v>
      </c>
    </row>
    <row r="630" customFormat="false" ht="12.8" hidden="false" customHeight="false" outlineLevel="0" collapsed="false">
      <c r="K630" s="0" t="s">
        <v>639</v>
      </c>
      <c r="L630" s="0" t="n">
        <f aca="false">WEEKDAY(E2,2)</f>
        <v>2</v>
      </c>
    </row>
    <row r="631" customFormat="false" ht="12.8" hidden="false" customHeight="false" outlineLevel="0" collapsed="false">
      <c r="K631" s="0" t="s">
        <v>640</v>
      </c>
      <c r="L631" s="0" t="n">
        <f aca="false">WEEKDAY(DATE(2024,1,14))</f>
        <v>1</v>
      </c>
    </row>
    <row r="632" customFormat="false" ht="12.8" hidden="false" customHeight="false" outlineLevel="0" collapsed="false">
      <c r="K632" s="0" t="s">
        <v>641</v>
      </c>
      <c r="L632" s="0" t="n">
        <f aca="false">WEEKDAY(DATE(2024,1,14),2)</f>
        <v>7</v>
      </c>
    </row>
    <row r="633" customFormat="false" ht="12.8" hidden="false" customHeight="false" outlineLevel="0" collapsed="false">
      <c r="K633" s="0" t="s">
        <v>642</v>
      </c>
      <c r="L633" s="0" t="n">
        <f aca="false">WEEKDAY(E1,11)</f>
        <v>1</v>
      </c>
    </row>
    <row r="634" customFormat="false" ht="12.8" hidden="false" customHeight="false" outlineLevel="0" collapsed="false">
      <c r="K634" s="0" t="s">
        <v>643</v>
      </c>
      <c r="L634" s="0" t="n">
        <f aca="false">WEEKDAY(E1,17)</f>
        <v>2</v>
      </c>
    </row>
    <row r="635" customFormat="false" ht="12.8" hidden="false" customHeight="false" outlineLevel="0" collapsed="false">
      <c r="K635" s="0" t="s">
        <v>644</v>
      </c>
      <c r="L635" s="0" t="e">
        <f aca="false">WEEKDAY(E1,4)</f>
        <v>#VALUE!</v>
      </c>
    </row>
    <row r="636" customFormat="false" ht="12.8" hidden="false" customHeight="false" outlineLevel="0" collapsed="false">
      <c r="K636" s="0" t="s">
        <v>645</v>
      </c>
      <c r="L636" s="0" t="e">
        <f aca="false">WEEKDAY(H1)</f>
        <v>#DIV/0!</v>
      </c>
    </row>
    <row r="637" customFormat="false" ht="12.8" hidden="false" customHeight="false" outlineLevel="0" collapsed="false">
      <c r="K637" s="0" t="s">
        <v>646</v>
      </c>
      <c r="L637" s="0" t="n">
        <f aca="false">WEEKDAY(E3)</f>
        <v>2</v>
      </c>
    </row>
    <row r="638" customFormat="false" ht="12.8" hidden="false" customHeight="false" outlineLevel="0" collapsed="false">
      <c r="K638" s="0" t="s">
        <v>647</v>
      </c>
      <c r="L638" s="0" t="n">
        <f aca="false">WEEKDAY(0)</f>
        <v>7</v>
      </c>
    </row>
    <row r="639" customFormat="false" ht="12.8" hidden="false" customHeight="false" outlineLevel="0" collapsed="false">
      <c r="K639" s="0" t="s">
        <v>648</v>
      </c>
      <c r="L639" s="0" t="n">
        <f aca="false">WEEKDAY(1)</f>
        <v>1</v>
      </c>
    </row>
    <row r="640" customFormat="false" ht="12.8" hidden="false" customHeight="false" outlineLevel="0" collapsed="false">
      <c r="K640" s="0" t="s">
        <v>649</v>
      </c>
      <c r="L640" s="0" t="n">
        <f aca="false">WEEKDAY(D4)</f>
        <v>7</v>
      </c>
    </row>
    <row r="641" customFormat="false" ht="12.8" hidden="false" customHeight="false" outlineLevel="0" collapsed="false">
      <c r="K641" s="0" t="s">
        <v>650</v>
      </c>
      <c r="L641" s="0" t="e">
        <f aca="false">WEEKDAY(B1)</f>
        <v>#VALUE!</v>
      </c>
    </row>
    <row r="642" customFormat="false" ht="12.8" hidden="false" customHeight="false" outlineLevel="0" collapsed="false">
      <c r="K642" s="0" t="s">
        <v>651</v>
      </c>
      <c r="L642" s="0" t="n">
        <f aca="false">WEEKDAY(-1)</f>
        <v>6</v>
      </c>
    </row>
    <row r="643" customFormat="false" ht="12.8" hidden="false" customHeight="false" outlineLevel="0" collapsed="false">
      <c r="K643" s="0" t="s">
        <v>652</v>
      </c>
      <c r="L643" s="0" t="n">
        <f aca="false">WEEKDAY(E1,12)</f>
        <v>7</v>
      </c>
    </row>
    <row r="644" customFormat="false" ht="12.8" hidden="false" customHeight="false" outlineLevel="0" collapsed="false">
      <c r="K644" s="0" t="s">
        <v>653</v>
      </c>
      <c r="L644" s="0" t="n">
        <f aca="false">WEEKDAY("2024-01-15")</f>
        <v>2</v>
      </c>
    </row>
    <row r="645" customFormat="false" ht="12.8" hidden="false" customHeight="false" outlineLevel="0" collapsed="false">
      <c r="K645" s="0" t="s">
        <v>654</v>
      </c>
      <c r="L645" s="0" t="n">
        <f aca="false">_xlfn.DAYS(E2,E1)</f>
        <v>351</v>
      </c>
    </row>
    <row r="646" customFormat="false" ht="12.8" hidden="false" customHeight="false" outlineLevel="0" collapsed="false">
      <c r="K646" s="0" t="s">
        <v>655</v>
      </c>
      <c r="L646" s="0" t="n">
        <f aca="false">_xlfn.DAYS(E1,E2)</f>
        <v>-351</v>
      </c>
    </row>
    <row r="647" customFormat="false" ht="12.8" hidden="false" customHeight="false" outlineLevel="0" collapsed="false">
      <c r="K647" s="0" t="s">
        <v>656</v>
      </c>
      <c r="L647" s="0" t="n">
        <f aca="false">_xlfn.DAYS(E1,E1)</f>
        <v>0</v>
      </c>
    </row>
    <row r="648" customFormat="false" ht="12.8" hidden="false" customHeight="false" outlineLevel="0" collapsed="false">
      <c r="K648" s="0" t="s">
        <v>657</v>
      </c>
      <c r="L648" s="0" t="n">
        <f aca="false">_xlfn.DAYS(DATE(2024,3,1),DATE(2024,2,1))</f>
        <v>29</v>
      </c>
    </row>
    <row r="649" customFormat="false" ht="12.8" hidden="false" customHeight="false" outlineLevel="0" collapsed="false">
      <c r="K649" s="0" t="s">
        <v>658</v>
      </c>
      <c r="L649" s="0" t="n">
        <f aca="false">_xlfn.DAYS("2024-12-31","2024-01-15")</f>
        <v>351</v>
      </c>
    </row>
    <row r="650" customFormat="false" ht="12.8" hidden="false" customHeight="false" outlineLevel="0" collapsed="false">
      <c r="K650" s="0" t="s">
        <v>659</v>
      </c>
      <c r="L650" s="0" t="n">
        <f aca="false">_xlfn.DAYS(E3,E1)</f>
        <v>0.75</v>
      </c>
    </row>
    <row r="651" customFormat="false" ht="12.8" hidden="false" customHeight="false" outlineLevel="0" collapsed="false">
      <c r="K651" s="0" t="s">
        <v>660</v>
      </c>
      <c r="L651" s="0" t="e">
        <f aca="false">_xlfn.DAYS(H1,E1)</f>
        <v>#DIV/0!</v>
      </c>
    </row>
    <row r="652" customFormat="false" ht="12.8" hidden="false" customHeight="false" outlineLevel="0" collapsed="false">
      <c r="K652" s="0" t="s">
        <v>661</v>
      </c>
      <c r="L652" s="0" t="e">
        <f aca="false">_xlfn.DAYS(E1,H2)</f>
        <v>#N/A</v>
      </c>
    </row>
    <row r="653" customFormat="false" ht="12.8" hidden="false" customHeight="false" outlineLevel="0" collapsed="false">
      <c r="K653" s="0" t="s">
        <v>662</v>
      </c>
      <c r="L653" s="0" t="e">
        <f aca="false">_xlfn.DAYS(B1,E1)</f>
        <v>#VALUE!</v>
      </c>
    </row>
    <row r="654" customFormat="false" ht="12.8" hidden="false" customHeight="false" outlineLevel="0" collapsed="false">
      <c r="K654" s="0" t="s">
        <v>663</v>
      </c>
      <c r="L654" s="0" t="n">
        <f aca="false">_xlfn.DAYS(D4,E1)</f>
        <v>-45306</v>
      </c>
    </row>
    <row r="655" customFormat="false" ht="12.8" hidden="false" customHeight="false" outlineLevel="0" collapsed="false">
      <c r="K655" s="0" t="s">
        <v>664</v>
      </c>
      <c r="L655" s="0" t="n">
        <f aca="false">_xlfn.DAYS(E2,E1)+1</f>
        <v>352</v>
      </c>
    </row>
    <row r="656" customFormat="false" ht="12.8" hidden="false" customHeight="false" outlineLevel="0" collapsed="false">
      <c r="K656" s="0" t="s">
        <v>665</v>
      </c>
      <c r="L656" s="0" t="n">
        <f aca="false">1+2*3</f>
        <v>7</v>
      </c>
    </row>
    <row r="657" customFormat="false" ht="12.8" hidden="false" customHeight="false" outlineLevel="0" collapsed="false">
      <c r="K657" s="0" t="s">
        <v>666</v>
      </c>
      <c r="L657" s="0" t="n">
        <f aca="false">(1+2)*3</f>
        <v>9</v>
      </c>
    </row>
    <row r="658" customFormat="false" ht="12.8" hidden="false" customHeight="false" outlineLevel="0" collapsed="false">
      <c r="K658" s="0" t="s">
        <v>667</v>
      </c>
      <c r="L658" s="0" t="n">
        <f aca="false">2*3+4</f>
        <v>10</v>
      </c>
    </row>
    <row r="659" customFormat="false" ht="12.8" hidden="false" customHeight="false" outlineLevel="0" collapsed="false">
      <c r="K659" s="0" t="s">
        <v>668</v>
      </c>
      <c r="L659" s="0" t="n">
        <f aca="false">10-2-3</f>
        <v>5</v>
      </c>
    </row>
    <row r="660" customFormat="false" ht="12.8" hidden="false" customHeight="false" outlineLevel="0" collapsed="false">
      <c r="K660" s="0" t="s">
        <v>669</v>
      </c>
      <c r="L660" s="0" t="n">
        <f aca="false">2/4/2</f>
        <v>0.25</v>
      </c>
    </row>
    <row r="661" customFormat="false" ht="12.8" hidden="false" customHeight="false" outlineLevel="0" collapsed="false">
      <c r="K661" s="0" t="s">
        <v>670</v>
      </c>
      <c r="L661" s="0" t="n">
        <f aca="false">2^3^2</f>
        <v>64</v>
      </c>
    </row>
    <row r="662" customFormat="false" ht="12.8" hidden="false" customHeight="false" outlineLevel="0" collapsed="false">
      <c r="K662" s="0" t="s">
        <v>671</v>
      </c>
      <c r="L662" s="0" t="n">
        <f aca="false">-2^2</f>
        <v>4</v>
      </c>
    </row>
    <row r="663" customFormat="false" ht="12.8" hidden="false" customHeight="false" outlineLevel="0" collapsed="false">
      <c r="K663" s="0" t="s">
        <v>672</v>
      </c>
      <c r="L663" s="0" t="n">
        <f aca="false">--1</f>
        <v>1</v>
      </c>
    </row>
    <row r="664" customFormat="false" ht="12.8" hidden="false" customHeight="false" outlineLevel="0" collapsed="false">
      <c r="K664" s="0" t="s">
        <v>673</v>
      </c>
      <c r="L664" s="0" t="n">
        <f aca="false">---1</f>
        <v>-1</v>
      </c>
    </row>
    <row r="665" customFormat="false" ht="12.8" hidden="false" customHeight="false" outlineLevel="0" collapsed="false">
      <c r="K665" s="0" t="s">
        <v>674</v>
      </c>
      <c r="L665" s="0" t="n">
        <f aca="false">+1</f>
        <v>1</v>
      </c>
    </row>
    <row r="666" customFormat="false" ht="12.8" hidden="false" customHeight="false" outlineLevel="0" collapsed="false">
      <c r="K666" s="0" t="s">
        <v>675</v>
      </c>
      <c r="L666" s="6" t="n">
        <f aca="false">5%</f>
        <v>0.05</v>
      </c>
    </row>
    <row r="667" customFormat="false" ht="12.8" hidden="false" customHeight="false" outlineLevel="0" collapsed="false">
      <c r="K667" s="0" t="s">
        <v>676</v>
      </c>
      <c r="L667" s="0" t="n">
        <f aca="false">50%*2</f>
        <v>1</v>
      </c>
    </row>
    <row r="668" customFormat="false" ht="12.8" hidden="false" customHeight="false" outlineLevel="0" collapsed="false">
      <c r="K668" s="0" t="s">
        <v>677</v>
      </c>
      <c r="L668" s="0" t="n">
        <f aca="false">200*5%</f>
        <v>10</v>
      </c>
    </row>
    <row r="669" customFormat="false" ht="12.8" hidden="false" customHeight="false" outlineLevel="0" collapsed="false">
      <c r="K669" s="0" t="s">
        <v>678</v>
      </c>
      <c r="L669" s="0" t="n">
        <f aca="false">2^-1</f>
        <v>0.5</v>
      </c>
    </row>
    <row r="670" customFormat="false" ht="12.8" hidden="false" customHeight="false" outlineLevel="0" collapsed="false">
      <c r="K670" s="0" t="s">
        <v>679</v>
      </c>
      <c r="L670" s="0" t="n">
        <f aca="false">-A1^2</f>
        <v>1</v>
      </c>
    </row>
    <row r="671" customFormat="false" ht="12.8" hidden="false" customHeight="false" outlineLevel="0" collapsed="false">
      <c r="K671" s="0" t="s">
        <v>680</v>
      </c>
      <c r="L671" s="6" t="n">
        <f aca="false">10%%</f>
        <v>0.001</v>
      </c>
    </row>
    <row r="672" customFormat="false" ht="12.8" hidden="false" customHeight="false" outlineLevel="0" collapsed="false">
      <c r="K672" s="0" t="s">
        <v>681</v>
      </c>
      <c r="L672" s="0" t="str">
        <f aca="false">1+2&amp;3</f>
        <v>33</v>
      </c>
    </row>
    <row r="673" customFormat="false" ht="12.8" hidden="false" customHeight="false" outlineLevel="0" collapsed="false">
      <c r="K673" s="0" t="s">
        <v>682</v>
      </c>
      <c r="L673" s="0" t="str">
        <f aca="false">1&amp;2+3</f>
        <v>15</v>
      </c>
    </row>
    <row r="674" customFormat="false" ht="12.8" hidden="false" customHeight="false" outlineLevel="0" collapsed="false">
      <c r="K674" s="0" t="s">
        <v>683</v>
      </c>
      <c r="L674" s="0" t="str">
        <f aca="false">1&amp;TRUE()</f>
        <v>11</v>
      </c>
    </row>
    <row r="675" customFormat="false" ht="12.8" hidden="false" customHeight="false" outlineLevel="0" collapsed="false">
      <c r="K675" s="0" t="s">
        <v>684</v>
      </c>
      <c r="L675" s="0" t="str">
        <f aca="false">TRUE()&amp;FALSE()</f>
        <v>10</v>
      </c>
    </row>
    <row r="676" customFormat="false" ht="12.8" hidden="false" customHeight="false" outlineLevel="0" collapsed="false">
      <c r="K676" s="0" t="s">
        <v>685</v>
      </c>
      <c r="L676" s="0" t="str">
        <f aca="false">"a"&amp;1.5</f>
        <v>a1.5</v>
      </c>
    </row>
    <row r="677" customFormat="false" ht="12.8" hidden="false" customHeight="false" outlineLevel="0" collapsed="false">
      <c r="K677" s="0" t="s">
        <v>686</v>
      </c>
      <c r="L677" s="0" t="str">
        <f aca="false">1/4&amp;""</f>
        <v>0.25</v>
      </c>
    </row>
    <row r="678" customFormat="false" ht="12.8" hidden="false" customHeight="false" outlineLevel="0" collapsed="false">
      <c r="K678" s="0" t="s">
        <v>687</v>
      </c>
      <c r="L678" s="0" t="str">
        <f aca="false">1000&amp;""</f>
        <v>1000</v>
      </c>
    </row>
    <row r="679" customFormat="false" ht="12.8" hidden="false" customHeight="false" outlineLevel="0" collapsed="false">
      <c r="K679" s="0" t="s">
        <v>688</v>
      </c>
      <c r="L679" s="0" t="str">
        <f aca="false">D4&amp;"x"</f>
        <v>x</v>
      </c>
    </row>
    <row r="680" customFormat="false" ht="12.8" hidden="false" customHeight="false" outlineLevel="0" collapsed="false">
      <c r="K680" s="0" t="s">
        <v>689</v>
      </c>
      <c r="L680" s="0" t="str">
        <f aca="false">D4&amp;D4</f>
        <v/>
      </c>
    </row>
    <row r="681" customFormat="false" ht="12.8" hidden="false" customHeight="false" outlineLevel="0" collapsed="false">
      <c r="K681" s="0" t="s">
        <v>690</v>
      </c>
      <c r="L681" s="0" t="str">
        <f aca="false">A1&amp;B1</f>
        <v>1apple</v>
      </c>
    </row>
    <row r="682" customFormat="false" ht="12.8" hidden="false" customHeight="false" outlineLevel="0" collapsed="false">
      <c r="K682" s="0" t="s">
        <v>691</v>
      </c>
      <c r="L682" s="0" t="str">
        <f aca="false">E1&amp;""</f>
        <v>45306</v>
      </c>
    </row>
    <row r="683" customFormat="false" ht="12.8" hidden="false" customHeight="false" outlineLevel="0" collapsed="false">
      <c r="K683" s="0" t="s">
        <v>692</v>
      </c>
      <c r="L683" s="0" t="str">
        <f aca="false">C1&amp;""</f>
        <v>10.5</v>
      </c>
    </row>
    <row r="684" customFormat="false" ht="12.8" hidden="false" customHeight="false" outlineLevel="0" collapsed="false">
      <c r="K684" s="0" t="s">
        <v>693</v>
      </c>
      <c r="L684" s="0" t="n">
        <f aca="false">0.1+0.2</f>
        <v>0.3</v>
      </c>
    </row>
    <row r="685" customFormat="false" ht="12.8" hidden="false" customHeight="false" outlineLevel="0" collapsed="false">
      <c r="K685" s="0" t="s">
        <v>694</v>
      </c>
      <c r="L685" s="1" t="b">
        <f aca="false">0.1+0.2=0.3</f>
        <v>1</v>
      </c>
    </row>
    <row r="686" customFormat="false" ht="12.8" hidden="false" customHeight="false" outlineLevel="0" collapsed="false">
      <c r="K686" s="0" t="s">
        <v>695</v>
      </c>
      <c r="L686" s="0" t="n">
        <f aca="false">1/3</f>
        <v>0.333333333333333</v>
      </c>
    </row>
    <row r="687" customFormat="false" ht="12.8" hidden="false" customHeight="false" outlineLevel="0" collapsed="false">
      <c r="K687" s="0" t="s">
        <v>696</v>
      </c>
      <c r="L687" s="0" t="n">
        <f aca="false">2^0.5</f>
        <v>1.4142135623731</v>
      </c>
    </row>
    <row r="688" customFormat="false" ht="12.8" hidden="false" customHeight="false" outlineLevel="0" collapsed="false">
      <c r="K688" s="0" t="s">
        <v>697</v>
      </c>
      <c r="L688" s="1" t="b">
        <f aca="false">1&lt;2</f>
        <v>1</v>
      </c>
    </row>
    <row r="689" customFormat="false" ht="12.8" hidden="false" customHeight="false" outlineLevel="0" collapsed="false">
      <c r="K689" s="0" t="s">
        <v>698</v>
      </c>
      <c r="L689" s="1" t="b">
        <f aca="false">2&lt;=2</f>
        <v>1</v>
      </c>
    </row>
    <row r="690" customFormat="false" ht="12.8" hidden="false" customHeight="false" outlineLevel="0" collapsed="false">
      <c r="K690" s="0" t="s">
        <v>699</v>
      </c>
      <c r="L690" s="1" t="b">
        <f aca="false">1&lt;&gt;1</f>
        <v>0</v>
      </c>
    </row>
    <row r="691" customFormat="false" ht="12.8" hidden="false" customHeight="false" outlineLevel="0" collapsed="false">
      <c r="K691" s="0" t="s">
        <v>700</v>
      </c>
      <c r="L691" s="1" t="b">
        <f aca="false">1=1</f>
        <v>1</v>
      </c>
    </row>
    <row r="692" customFormat="false" ht="12.8" hidden="false" customHeight="false" outlineLevel="0" collapsed="false">
      <c r="K692" s="0" t="s">
        <v>701</v>
      </c>
      <c r="L692" s="1" t="b">
        <f aca="false">"a"="A"</f>
        <v>1</v>
      </c>
    </row>
    <row r="693" customFormat="false" ht="12.8" hidden="false" customHeight="false" outlineLevel="0" collapsed="false">
      <c r="K693" s="0" t="s">
        <v>702</v>
      </c>
      <c r="L693" s="1" t="b">
        <f aca="false">"a"="b"</f>
        <v>0</v>
      </c>
    </row>
    <row r="694" customFormat="false" ht="12.8" hidden="false" customHeight="false" outlineLevel="0" collapsed="false">
      <c r="K694" s="0" t="s">
        <v>703</v>
      </c>
      <c r="L694" s="1" t="b">
        <f aca="false">"a"&lt;"b"</f>
        <v>1</v>
      </c>
    </row>
    <row r="695" customFormat="false" ht="12.8" hidden="false" customHeight="false" outlineLevel="0" collapsed="false">
      <c r="K695" s="0" t="s">
        <v>704</v>
      </c>
      <c r="L695" s="1" t="b">
        <f aca="false">"B"&lt;"a"</f>
        <v>0</v>
      </c>
    </row>
    <row r="696" customFormat="false" ht="12.8" hidden="false" customHeight="false" outlineLevel="0" collapsed="false">
      <c r="K696" s="0" t="s">
        <v>705</v>
      </c>
      <c r="L696" s="1" t="b">
        <f aca="false">"apple"&lt;"banana"</f>
        <v>1</v>
      </c>
    </row>
    <row r="697" customFormat="false" ht="12.8" hidden="false" customHeight="false" outlineLevel="0" collapsed="false">
      <c r="K697" s="0" t="s">
        <v>706</v>
      </c>
      <c r="L697" s="1" t="b">
        <f aca="false">"a"&gt;1</f>
        <v>1</v>
      </c>
    </row>
    <row r="698" customFormat="false" ht="12.8" hidden="false" customHeight="false" outlineLevel="0" collapsed="false">
      <c r="K698" s="0" t="s">
        <v>707</v>
      </c>
      <c r="L698" s="1" t="b">
        <f aca="false">1&gt;"a"</f>
        <v>0</v>
      </c>
    </row>
    <row r="699" customFormat="false" ht="12.8" hidden="false" customHeight="false" outlineLevel="0" collapsed="false">
      <c r="K699" s="0" t="s">
        <v>708</v>
      </c>
      <c r="L699" s="1" t="b">
        <f aca="false">"1"=1</f>
        <v>0</v>
      </c>
    </row>
    <row r="700" customFormat="false" ht="12.8" hidden="false" customHeight="false" outlineLevel="0" collapsed="false">
      <c r="K700" s="0" t="s">
        <v>709</v>
      </c>
      <c r="L700" s="1" t="b">
        <f aca="false">"1"&gt;1</f>
        <v>1</v>
      </c>
    </row>
    <row r="701" customFormat="false" ht="12.8" hidden="false" customHeight="false" outlineLevel="0" collapsed="false">
      <c r="K701" s="0" t="s">
        <v>710</v>
      </c>
      <c r="L701" s="1" t="b">
        <f aca="false">TRUE()&gt;1</f>
        <v>0</v>
      </c>
    </row>
    <row r="702" customFormat="false" ht="12.8" hidden="false" customHeight="false" outlineLevel="0" collapsed="false">
      <c r="K702" s="0" t="s">
        <v>711</v>
      </c>
      <c r="L702" s="1" t="b">
        <f aca="false">TRUE()&gt;"a"</f>
        <v>0</v>
      </c>
    </row>
    <row r="703" customFormat="false" ht="12.8" hidden="false" customHeight="false" outlineLevel="0" collapsed="false">
      <c r="K703" s="0" t="s">
        <v>712</v>
      </c>
      <c r="L703" s="1" t="b">
        <f aca="false">FALSE()&gt;"zzz"</f>
        <v>0</v>
      </c>
    </row>
    <row r="704" customFormat="false" ht="12.8" hidden="false" customHeight="false" outlineLevel="0" collapsed="false">
      <c r="K704" s="0" t="s">
        <v>713</v>
      </c>
      <c r="L704" s="1" t="b">
        <f aca="false">TRUE()=1</f>
        <v>1</v>
      </c>
    </row>
    <row r="705" customFormat="false" ht="12.8" hidden="false" customHeight="false" outlineLevel="0" collapsed="false">
      <c r="K705" s="0" t="s">
        <v>714</v>
      </c>
      <c r="L705" s="1" t="b">
        <f aca="false">FALSE()=0</f>
        <v>1</v>
      </c>
    </row>
    <row r="706" customFormat="false" ht="12.8" hidden="false" customHeight="false" outlineLevel="0" collapsed="false">
      <c r="K706" s="0" t="s">
        <v>715</v>
      </c>
      <c r="L706" s="1" t="b">
        <f aca="false">D4=0</f>
        <v>1</v>
      </c>
    </row>
    <row r="707" customFormat="false" ht="12.8" hidden="false" customHeight="false" outlineLevel="0" collapsed="false">
      <c r="K707" s="0" t="s">
        <v>716</v>
      </c>
      <c r="L707" s="1" t="b">
        <f aca="false">D4=""</f>
        <v>1</v>
      </c>
    </row>
    <row r="708" customFormat="false" ht="12.8" hidden="false" customHeight="false" outlineLevel="0" collapsed="false">
      <c r="K708" s="0" t="s">
        <v>717</v>
      </c>
      <c r="L708" s="1" t="b">
        <f aca="false">D3=""</f>
        <v>1</v>
      </c>
    </row>
    <row r="709" customFormat="false" ht="12.8" hidden="false" customHeight="false" outlineLevel="0" collapsed="false">
      <c r="K709" s="0" t="s">
        <v>718</v>
      </c>
      <c r="L709" s="1" t="b">
        <f aca="false">D4=FALSE()</f>
        <v>1</v>
      </c>
    </row>
    <row r="710" customFormat="false" ht="12.8" hidden="false" customHeight="false" outlineLevel="0" collapsed="false">
      <c r="K710" s="0" t="s">
        <v>719</v>
      </c>
      <c r="L710" s="1" t="b">
        <f aca="false">A1=1</f>
        <v>1</v>
      </c>
    </row>
    <row r="711" customFormat="false" ht="12.8" hidden="false" customHeight="false" outlineLevel="0" collapsed="false">
      <c r="K711" s="0" t="s">
        <v>720</v>
      </c>
      <c r="L711" s="1" t="b">
        <f aca="false">B1="APPLE"</f>
        <v>1</v>
      </c>
    </row>
    <row r="712" customFormat="false" ht="12.8" hidden="false" customHeight="false" outlineLevel="0" collapsed="false">
      <c r="K712" s="0" t="s">
        <v>721</v>
      </c>
      <c r="L712" s="1" t="b">
        <f aca="false">B1&gt;A1</f>
        <v>1</v>
      </c>
    </row>
    <row r="713" customFormat="false" ht="12.8" hidden="false" customHeight="false" outlineLevel="0" collapsed="false">
      <c r="K713" s="0" t="s">
        <v>722</v>
      </c>
      <c r="L713" s="1" t="b">
        <f aca="false">E4&lt;1</f>
        <v>1</v>
      </c>
    </row>
    <row r="714" customFormat="false" ht="12.8" hidden="false" customHeight="false" outlineLevel="0" collapsed="false">
      <c r="K714" s="0" t="s">
        <v>723</v>
      </c>
      <c r="L714" s="1" t="b">
        <f aca="false">""&lt;"a"</f>
        <v>1</v>
      </c>
    </row>
    <row r="715" customFormat="false" ht="12.8" hidden="false" customHeight="false" outlineLevel="0" collapsed="false">
      <c r="K715" s="0" t="s">
        <v>724</v>
      </c>
      <c r="L715" s="1" t="b">
        <f aca="false">""=0</f>
        <v>0</v>
      </c>
    </row>
    <row r="716" customFormat="false" ht="12.8" hidden="false" customHeight="false" outlineLevel="0" collapsed="false">
      <c r="K716" s="0" t="s">
        <v>725</v>
      </c>
      <c r="L716" s="1" t="b">
        <f aca="false">"a"&lt;&gt;"A"</f>
        <v>0</v>
      </c>
    </row>
    <row r="717" customFormat="false" ht="12.8" hidden="false" customHeight="false" outlineLevel="0" collapsed="false">
      <c r="K717" s="0" t="s">
        <v>726</v>
      </c>
      <c r="L717" s="0" t="e">
        <f aca="false">H1=1</f>
        <v>#DIV/0!</v>
      </c>
    </row>
    <row r="718" customFormat="false" ht="12.8" hidden="false" customHeight="false" outlineLevel="0" collapsed="false">
      <c r="K718" s="0" t="s">
        <v>727</v>
      </c>
      <c r="L718" s="0" t="e">
        <f aca="false">H1&gt;1</f>
        <v>#DIV/0!</v>
      </c>
    </row>
    <row r="719" customFormat="false" ht="12.8" hidden="false" customHeight="false" outlineLevel="0" collapsed="false">
      <c r="K719" s="0" t="s">
        <v>728</v>
      </c>
      <c r="L719" s="1" t="b">
        <f aca="false">1&lt;&gt;"1"</f>
        <v>1</v>
      </c>
    </row>
    <row r="720" customFormat="false" ht="12.8" hidden="false" customHeight="false" outlineLevel="0" collapsed="false">
      <c r="K720" s="0" t="s">
        <v>729</v>
      </c>
      <c r="L720" s="1" t="b">
        <f aca="false">C2&lt;0</f>
        <v>1</v>
      </c>
    </row>
    <row r="721" customFormat="false" ht="12.8" hidden="false" customHeight="false" outlineLevel="0" collapsed="false">
      <c r="K721" s="0" t="s">
        <v>730</v>
      </c>
      <c r="L721" s="1" t="b">
        <f aca="false">D3=D4</f>
        <v>1</v>
      </c>
    </row>
    <row r="722" customFormat="false" ht="12.8" hidden="false" customHeight="false" outlineLevel="0" collapsed="false">
      <c r="K722" s="0" t="s">
        <v>731</v>
      </c>
      <c r="L722" s="1" t="b">
        <f aca="false">1+1=2</f>
        <v>1</v>
      </c>
    </row>
    <row r="723" customFormat="false" ht="12.8" hidden="false" customHeight="false" outlineLevel="0" collapsed="false">
      <c r="K723" s="0" t="s">
        <v>732</v>
      </c>
      <c r="L723" s="1" t="b">
        <f aca="false">2&gt;1=TRUE()</f>
        <v>1</v>
      </c>
    </row>
    <row r="724" customFormat="false" ht="12.8" hidden="false" customHeight="false" outlineLevel="0" collapsed="false">
      <c r="K724" s="0" t="s">
        <v>733</v>
      </c>
      <c r="L724" s="1" t="b">
        <f aca="false">"a"&amp;"b"="ab"</f>
        <v>1</v>
      </c>
    </row>
    <row r="725" customFormat="false" ht="12.8" hidden="false" customHeight="false" outlineLevel="0" collapsed="false">
      <c r="K725" s="0" t="s">
        <v>734</v>
      </c>
      <c r="L725" s="1" t="b">
        <f aca="false">1&amp;1=11</f>
        <v>0</v>
      </c>
    </row>
    <row r="726" customFormat="false" ht="12.8" hidden="false" customHeight="false" outlineLevel="0" collapsed="false">
      <c r="K726" s="0" t="s">
        <v>735</v>
      </c>
      <c r="L726" s="0" t="e">
        <f aca="false">1/0</f>
        <v>#DIV/0!</v>
      </c>
    </row>
    <row r="727" customFormat="false" ht="12.8" hidden="false" customHeight="false" outlineLevel="0" collapsed="false">
      <c r="K727" s="0" t="s">
        <v>736</v>
      </c>
      <c r="L727" s="0" t="e">
        <f aca="false">0/0</f>
        <v>#DIV/0!</v>
      </c>
    </row>
    <row r="728" customFormat="false" ht="12.8" hidden="false" customHeight="false" outlineLevel="0" collapsed="false">
      <c r="K728" s="0" t="s">
        <v>737</v>
      </c>
      <c r="L728" s="0" t="e">
        <f aca="false">1/D4</f>
        <v>#DIV/0!</v>
      </c>
    </row>
    <row r="729" customFormat="false" ht="12.8" hidden="false" customHeight="false" outlineLevel="0" collapsed="false">
      <c r="K729" s="0" t="s">
        <v>738</v>
      </c>
      <c r="L729" s="0" t="n">
        <f aca="false">D4/1</f>
        <v>0</v>
      </c>
    </row>
    <row r="730" customFormat="false" ht="12.8" hidden="false" customHeight="false" outlineLevel="0" collapsed="false">
      <c r="K730" s="0" t="s">
        <v>739</v>
      </c>
      <c r="L730" s="0" t="n">
        <f aca="false">"3"+1</f>
        <v>4</v>
      </c>
    </row>
    <row r="731" customFormat="false" ht="12.8" hidden="false" customHeight="false" outlineLevel="0" collapsed="false">
      <c r="K731" s="0" t="s">
        <v>740</v>
      </c>
      <c r="L731" s="0" t="e">
        <f aca="false">"a"+1</f>
        <v>#VALUE!</v>
      </c>
    </row>
    <row r="732" customFormat="false" ht="12.8" hidden="false" customHeight="false" outlineLevel="0" collapsed="false">
      <c r="K732" s="0" t="s">
        <v>741</v>
      </c>
      <c r="L732" s="0" t="n">
        <f aca="false">TRUE()+1</f>
        <v>2</v>
      </c>
    </row>
    <row r="733" customFormat="false" ht="12.8" hidden="false" customHeight="false" outlineLevel="0" collapsed="false">
      <c r="K733" s="0" t="s">
        <v>742</v>
      </c>
      <c r="L733" s="0" t="n">
        <f aca="false">TRUE()+TRUE()</f>
        <v>2</v>
      </c>
    </row>
    <row r="734" customFormat="false" ht="12.8" hidden="false" customHeight="false" outlineLevel="0" collapsed="false">
      <c r="K734" s="0" t="s">
        <v>743</v>
      </c>
      <c r="L734" s="0" t="n">
        <f aca="false">FALSE()*5</f>
        <v>0</v>
      </c>
    </row>
    <row r="735" customFormat="false" ht="12.8" hidden="false" customHeight="false" outlineLevel="0" collapsed="false">
      <c r="K735" s="0" t="s">
        <v>744</v>
      </c>
      <c r="L735" s="0" t="n">
        <f aca="false">D4+1</f>
        <v>1</v>
      </c>
    </row>
    <row r="736" customFormat="false" ht="12.8" hidden="false" customHeight="false" outlineLevel="0" collapsed="false">
      <c r="K736" s="0" t="s">
        <v>745</v>
      </c>
      <c r="L736" s="0" t="n">
        <f aca="false">D4*5</f>
        <v>0</v>
      </c>
    </row>
    <row r="737" customFormat="false" ht="12.8" hidden="false" customHeight="false" outlineLevel="0" collapsed="false">
      <c r="K737" s="0" t="s">
        <v>746</v>
      </c>
      <c r="L737" s="0" t="e">
        <f aca="false">D3+1</f>
        <v>#VALUE!</v>
      </c>
    </row>
    <row r="738" customFormat="false" ht="12.8" hidden="false" customHeight="false" outlineLevel="0" collapsed="false">
      <c r="K738" s="0" t="s">
        <v>747</v>
      </c>
      <c r="L738" s="0" t="n">
        <f aca="false">D5+1</f>
        <v>43</v>
      </c>
    </row>
    <row r="739" customFormat="false" ht="12.8" hidden="false" customHeight="false" outlineLevel="0" collapsed="false">
      <c r="K739" s="0" t="s">
        <v>748</v>
      </c>
      <c r="L739" s="0" t="e">
        <f aca="false">D6+1</f>
        <v>#VALUE!</v>
      </c>
    </row>
    <row r="740" customFormat="false" ht="12.8" hidden="false" customHeight="false" outlineLevel="0" collapsed="false">
      <c r="K740" s="0" t="s">
        <v>749</v>
      </c>
      <c r="L740" s="0" t="e">
        <f aca="false">""+1</f>
        <v>#VALUE!</v>
      </c>
    </row>
    <row r="741" customFormat="false" ht="12.8" hidden="false" customHeight="false" outlineLevel="0" collapsed="false">
      <c r="K741" s="0" t="s">
        <v>750</v>
      </c>
      <c r="L741" s="0" t="n">
        <f aca="false">" 3 "+1</f>
        <v>4</v>
      </c>
    </row>
    <row r="742" customFormat="false" ht="12.8" hidden="false" customHeight="false" outlineLevel="0" collapsed="false">
      <c r="K742" s="0" t="s">
        <v>751</v>
      </c>
      <c r="L742" s="0" t="n">
        <f aca="false">"1e2"+1</f>
        <v>101</v>
      </c>
    </row>
    <row r="743" customFormat="false" ht="12.8" hidden="false" customHeight="false" outlineLevel="0" collapsed="false">
      <c r="K743" s="0" t="s">
        <v>752</v>
      </c>
      <c r="L743" s="0" t="e">
        <f aca="false">"0x10"+1</f>
        <v>#VALUE!</v>
      </c>
    </row>
    <row r="744" customFormat="false" ht="12.8" hidden="false" customHeight="false" outlineLevel="0" collapsed="false">
      <c r="K744" s="0" t="s">
        <v>753</v>
      </c>
      <c r="L744" s="0" t="e">
        <f aca="false">B1+1</f>
        <v>#VALUE!</v>
      </c>
    </row>
    <row r="745" customFormat="false" ht="12.8" hidden="false" customHeight="false" outlineLevel="0" collapsed="false">
      <c r="K745" s="0" t="s">
        <v>754</v>
      </c>
      <c r="L745" s="0" t="n">
        <f aca="false">A1+A2*A3</f>
        <v>7</v>
      </c>
    </row>
    <row r="746" customFormat="false" ht="12.8" hidden="false" customHeight="false" outlineLevel="0" collapsed="false">
      <c r="K746" s="0" t="s">
        <v>755</v>
      </c>
      <c r="L746" s="0" t="n">
        <f aca="false">C1*2</f>
        <v>21</v>
      </c>
    </row>
    <row r="747" customFormat="false" ht="12.8" hidden="false" customHeight="false" outlineLevel="0" collapsed="false">
      <c r="K747" s="0" t="s">
        <v>756</v>
      </c>
      <c r="L747" s="0" t="n">
        <f aca="false">C6/A2</f>
        <v>500000</v>
      </c>
    </row>
    <row r="748" customFormat="false" ht="12.8" hidden="false" customHeight="false" outlineLevel="0" collapsed="false">
      <c r="K748" s="0" t="s">
        <v>757</v>
      </c>
      <c r="L748" s="3" t="n">
        <f aca="false">E1+1</f>
        <v>45307</v>
      </c>
    </row>
    <row r="749" customFormat="false" ht="12.8" hidden="false" customHeight="false" outlineLevel="0" collapsed="false">
      <c r="K749" s="0" t="s">
        <v>758</v>
      </c>
      <c r="L749" s="0" t="n">
        <f aca="false">E4*2</f>
        <v>1</v>
      </c>
    </row>
    <row r="750" customFormat="false" ht="12.8" hidden="false" customHeight="false" outlineLevel="0" collapsed="false">
      <c r="K750" s="0" t="s">
        <v>759</v>
      </c>
      <c r="L750" s="0" t="n">
        <f aca="false">-D4</f>
        <v>-0</v>
      </c>
    </row>
    <row r="751" customFormat="false" ht="12.8" hidden="false" customHeight="false" outlineLevel="0" collapsed="false">
      <c r="K751" s="0" t="s">
        <v>760</v>
      </c>
      <c r="L751" s="1" t="n">
        <f aca="false">-TRUE()</f>
        <v>-1</v>
      </c>
    </row>
    <row r="752" customFormat="false" ht="12.8" hidden="false" customHeight="false" outlineLevel="0" collapsed="false">
      <c r="K752" s="0" t="s">
        <v>761</v>
      </c>
      <c r="L752" s="0" t="n">
        <f aca="false">-"3"</f>
        <v>-3</v>
      </c>
    </row>
    <row r="753" customFormat="false" ht="12.8" hidden="false" customHeight="false" outlineLevel="0" collapsed="false">
      <c r="K753" s="0" t="s">
        <v>762</v>
      </c>
      <c r="L753" s="0" t="e">
        <f aca="false">-B1</f>
        <v>#VALUE!</v>
      </c>
    </row>
    <row r="754" customFormat="false" ht="12.8" hidden="false" customHeight="false" outlineLevel="0" collapsed="false">
      <c r="K754" s="0" t="s">
        <v>763</v>
      </c>
      <c r="L754" s="0" t="str">
        <f aca="false">+B1</f>
        <v>apple</v>
      </c>
    </row>
    <row r="755" customFormat="false" ht="12.8" hidden="false" customHeight="false" outlineLevel="0" collapsed="false">
      <c r="K755" s="0" t="s">
        <v>764</v>
      </c>
      <c r="L755" s="0" t="n">
        <f aca="false">+D4</f>
        <v>0</v>
      </c>
    </row>
    <row r="756" customFormat="false" ht="12.8" hidden="false" customHeight="false" outlineLevel="0" collapsed="false">
      <c r="K756" s="0" t="s">
        <v>765</v>
      </c>
      <c r="L756" s="0" t="n">
        <f aca="false">"5"*"2"</f>
        <v>10</v>
      </c>
    </row>
    <row r="757" customFormat="false" ht="12.8" hidden="false" customHeight="false" outlineLevel="0" collapsed="false">
      <c r="K757" s="0" t="s">
        <v>766</v>
      </c>
      <c r="L757" s="0" t="n">
        <f aca="false">1-"1"</f>
        <v>0</v>
      </c>
    </row>
    <row r="758" customFormat="false" ht="12.8" hidden="false" customHeight="false" outlineLevel="0" collapsed="false">
      <c r="K758" s="0" t="s">
        <v>767</v>
      </c>
      <c r="L758" s="0" t="n">
        <f aca="false">2^"3"</f>
        <v>8</v>
      </c>
    </row>
    <row r="759" customFormat="false" ht="12.8" hidden="false" customHeight="false" outlineLevel="0" collapsed="false">
      <c r="K759" s="0" t="s">
        <v>768</v>
      </c>
      <c r="L759" s="0" t="e">
        <f aca="false">H1+1</f>
        <v>#DIV/0!</v>
      </c>
    </row>
    <row r="760" customFormat="false" ht="12.8" hidden="false" customHeight="false" outlineLevel="0" collapsed="false">
      <c r="K760" s="0" t="s">
        <v>769</v>
      </c>
      <c r="L760" s="0" t="e">
        <f aca="false">1+H2</f>
        <v>#N/A</v>
      </c>
    </row>
    <row r="761" customFormat="false" ht="12.8" hidden="false" customHeight="false" outlineLevel="0" collapsed="false">
      <c r="K761" s="0" t="s">
        <v>770</v>
      </c>
      <c r="L761" s="0" t="e">
        <f aca="false">H1+H2</f>
        <v>#N/A</v>
      </c>
    </row>
    <row r="762" customFormat="false" ht="12.8" hidden="false" customHeight="false" outlineLevel="0" collapsed="false">
      <c r="K762" s="0" t="s">
        <v>771</v>
      </c>
      <c r="L762" s="0" t="e">
        <f aca="false">H2+H1</f>
        <v>#DIV/0!</v>
      </c>
    </row>
    <row r="763" customFormat="false" ht="12.8" hidden="false" customHeight="false" outlineLevel="0" collapsed="false">
      <c r="K763" s="0" t="s">
        <v>772</v>
      </c>
      <c r="L763" s="6" t="n">
        <f aca="false">10%+A1</f>
        <v>1.1</v>
      </c>
    </row>
    <row r="764" customFormat="false" ht="12.8" hidden="false" customHeight="false" outlineLevel="0" collapsed="false">
      <c r="K764" s="0" t="s">
        <v>773</v>
      </c>
      <c r="L764" s="0" t="e">
        <f aca="false">1E+308*10</f>
        <v>#NUM!</v>
      </c>
    </row>
    <row r="765" customFormat="false" ht="12.8" hidden="false" customHeight="false" outlineLevel="0" collapsed="false">
      <c r="K765" s="0" t="s">
        <v>774</v>
      </c>
      <c r="L765" s="0" t="e">
        <f aca="false">-1E+308*10</f>
        <v>#NUM!</v>
      </c>
    </row>
    <row r="766" customFormat="false" ht="12.8" hidden="false" customHeight="false" outlineLevel="0" collapsed="false">
      <c r="K766" s="0" t="s">
        <v>775</v>
      </c>
      <c r="L766" s="0" t="n">
        <f aca="false">0^0</f>
        <v>1</v>
      </c>
    </row>
    <row r="767" customFormat="false" ht="12.8" hidden="false" customHeight="false" outlineLevel="0" collapsed="false">
      <c r="K767" s="0" t="s">
        <v>776</v>
      </c>
      <c r="L767" s="0" t="n">
        <f aca="false">(-8)^(1/3)</f>
        <v>-2</v>
      </c>
    </row>
    <row r="768" customFormat="false" ht="12.8" hidden="false" customHeight="false" outlineLevel="0" collapsed="false">
      <c r="K768" s="0" t="s">
        <v>777</v>
      </c>
      <c r="L768" s="0" t="n">
        <f aca="false">4^0.5</f>
        <v>2</v>
      </c>
    </row>
    <row r="769" customFormat="false" ht="12.8" hidden="false" customHeight="false" outlineLevel="0" collapsed="false">
      <c r="K769" s="0" t="s">
        <v>778</v>
      </c>
      <c r="L769" s="0" t="n">
        <f aca="false">Other!A1*2</f>
        <v>14</v>
      </c>
    </row>
    <row r="770" customFormat="false" ht="12.8" hidden="false" customHeight="false" outlineLevel="0" collapsed="false">
      <c r="K770" s="0" t="s">
        <v>779</v>
      </c>
      <c r="L770" s="0" t="str">
        <f aca="false">Other!B1</f>
        <v>remote</v>
      </c>
    </row>
    <row r="771" customFormat="false" ht="12.8" hidden="false" customHeight="false" outlineLevel="0" collapsed="false">
      <c r="K771" s="0" t="s">
        <v>780</v>
      </c>
      <c r="L771" s="0" t="str">
        <f aca="false">Other!B1&amp;"!"</f>
        <v>remote!</v>
      </c>
    </row>
    <row r="772" customFormat="false" ht="12.8" hidden="false" customHeight="false" outlineLevel="0" collapsed="false">
      <c r="K772" s="0" t="s">
        <v>781</v>
      </c>
      <c r="L772" s="0" t="n">
        <f aca="false">Other!A1+A1</f>
        <v>8</v>
      </c>
    </row>
    <row r="773" customFormat="false" ht="12.8" hidden="false" customHeight="false" outlineLevel="0" collapsed="false">
      <c r="K773" s="0" t="s">
        <v>782</v>
      </c>
      <c r="L773" s="0" t="n">
        <f aca="false">SUM(Data!A1:A6)</f>
        <v>21</v>
      </c>
    </row>
    <row r="774" customFormat="false" ht="12.8" hidden="false" customHeight="false" outlineLevel="0" collapsed="false">
      <c r="K774" s="0" t="s">
        <v>783</v>
      </c>
      <c r="L774" s="0" t="n">
        <f aca="false">SUM(Other!A1:B1)</f>
        <v>7</v>
      </c>
    </row>
    <row r="775" customFormat="false" ht="12.8" hidden="false" customHeight="false" outlineLevel="0" collapsed="false">
      <c r="K775" s="0" t="s">
        <v>784</v>
      </c>
      <c r="L775" s="0" t="n">
        <f aca="false">Data!A1</f>
        <v>1</v>
      </c>
    </row>
    <row r="776" customFormat="false" ht="12.8" hidden="false" customHeight="false" outlineLevel="0" collapsed="false">
      <c r="K776" s="0" t="s">
        <v>785</v>
      </c>
      <c r="L776" s="0" t="str">
        <f aca="false">Data!B1&amp;Other!B1</f>
        <v>appleremote</v>
      </c>
    </row>
    <row r="777" customFormat="false" ht="12.8" hidden="false" customHeight="false" outlineLevel="0" collapsed="false">
      <c r="K777" s="0" t="s">
        <v>45</v>
      </c>
      <c r="L777" s="0" t="n">
        <f aca="false">COUNT(A1:D6)</f>
        <v>14</v>
      </c>
    </row>
    <row r="778" customFormat="false" ht="12.8" hidden="false" customHeight="false" outlineLevel="0" collapsed="false">
      <c r="K778" s="0" t="s">
        <v>53</v>
      </c>
      <c r="L778" s="0" t="n">
        <f aca="false">COUNTA(A1:D6)</f>
        <v>23</v>
      </c>
    </row>
    <row r="779" customFormat="false" ht="12.8" hidden="false" customHeight="false" outlineLevel="0" collapsed="false">
      <c r="K779" s="0" t="s">
        <v>786</v>
      </c>
      <c r="L779" s="0" t="n">
        <f aca="false">COUNT(Data!A1:H6)</f>
        <v>22</v>
      </c>
    </row>
    <row r="780" customFormat="false" ht="12.8" hidden="false" customHeight="false" outlineLevel="0" collapsed="false">
      <c r="K780" s="0" t="s">
        <v>787</v>
      </c>
      <c r="L780" s="0" t="n">
        <f aca="false">COUNTA(Data!A1:H6)</f>
        <v>37</v>
      </c>
    </row>
    <row r="781" customFormat="false" ht="12.8" hidden="false" customHeight="false" outlineLevel="0" collapsed="false">
      <c r="K781" s="0" t="s">
        <v>788</v>
      </c>
      <c r="L781" s="0" t="n">
        <f aca="false">SUM(A1:A3,Other!A1)</f>
        <v>13</v>
      </c>
    </row>
    <row r="782" customFormat="false" ht="12.8" hidden="false" customHeight="false" outlineLevel="0" collapsed="false">
      <c r="K782" s="0" t="s">
        <v>789</v>
      </c>
      <c r="L782" s="0" t="n">
        <f aca="false">AVERAGE(Other!A1,A1)</f>
        <v>4</v>
      </c>
    </row>
    <row r="783" customFormat="false" ht="12.8" hidden="false" customHeight="false" outlineLevel="0" collapsed="false">
      <c r="K783" s="0" t="s">
        <v>790</v>
      </c>
      <c r="L783" s="0" t="n">
        <f aca="false">SUM($A$1:$A$3)</f>
        <v>6</v>
      </c>
    </row>
    <row r="784" customFormat="false" ht="12.8" hidden="false" customHeight="false" outlineLevel="0" collapsed="false">
      <c r="K784" s="0" t="s">
        <v>791</v>
      </c>
      <c r="L784" s="0" t="n">
        <f aca="false">SUM(A$1:A3)</f>
        <v>6</v>
      </c>
    </row>
    <row r="785" customFormat="false" ht="12.8" hidden="false" customHeight="false" outlineLevel="0" collapsed="false">
      <c r="K785" s="0" t="s">
        <v>792</v>
      </c>
      <c r="L785" s="0" t="n">
        <f aca="false">$A1+A$2</f>
        <v>3</v>
      </c>
    </row>
    <row r="786" customFormat="false" ht="12.8" hidden="false" customHeight="false" outlineLevel="0" collapsed="false">
      <c r="K786" s="0" t="s">
        <v>793</v>
      </c>
      <c r="L786" s="0" t="str">
        <f aca="false">INDEX(Other!A1:B1,2)</f>
        <v>remote</v>
      </c>
    </row>
    <row r="787" customFormat="false" ht="12.8" hidden="false" customHeight="false" outlineLevel="0" collapsed="false">
      <c r="K787" s="0" t="s">
        <v>794</v>
      </c>
      <c r="L787" s="0" t="n">
        <f aca="false">A1+Other!A1+Data!A2</f>
        <v>10</v>
      </c>
    </row>
    <row r="788" customFormat="false" ht="12.8" hidden="false" customHeight="false" outlineLevel="0" collapsed="false">
      <c r="K788" s="0" t="s">
        <v>795</v>
      </c>
      <c r="L788" s="0" t="n">
        <f aca="false">Z99</f>
        <v>0</v>
      </c>
    </row>
    <row r="789" customFormat="false" ht="12.8" hidden="false" customHeight="false" outlineLevel="0" collapsed="false">
      <c r="K789" s="0" t="s">
        <v>796</v>
      </c>
      <c r="L789" s="0" t="n">
        <f aca="false">Other!Z99</f>
        <v>0</v>
      </c>
    </row>
    <row r="790" customFormat="false" ht="12.8" hidden="false" customHeight="false" outlineLevel="0" collapsed="false">
      <c r="K790" s="0" t="s">
        <v>797</v>
      </c>
      <c r="L790" s="0" t="n">
        <f aca="false">SUM(A:A)</f>
        <v>21</v>
      </c>
    </row>
    <row r="791" customFormat="false" ht="12.8" hidden="false" customHeight="false" outlineLevel="0" collapsed="false">
      <c r="K791" s="0" t="s">
        <v>798</v>
      </c>
      <c r="L791" s="0" t="n">
        <f aca="false">COUNT(A:A)</f>
        <v>6</v>
      </c>
    </row>
    <row r="792" customFormat="false" ht="12.8" hidden="false" customHeight="false" outlineLevel="0" collapsed="false">
      <c r="K792" s="0" t="s">
        <v>799</v>
      </c>
      <c r="L792" s="0" t="n">
        <f aca="false">SUM(A:B)</f>
        <v>21</v>
      </c>
    </row>
    <row r="793" customFormat="false" ht="12.8" hidden="false" customHeight="false" outlineLevel="0" collapsed="false">
      <c r="K793" s="0" t="s">
        <v>800</v>
      </c>
      <c r="L793" s="0" t="n">
        <f aca="false">SUM(C:C)</f>
        <v>1000111.75</v>
      </c>
    </row>
    <row r="794" customFormat="false" ht="12.8" hidden="false" customHeight="false" outlineLevel="0" collapsed="false">
      <c r="K794" s="0" t="s">
        <v>801</v>
      </c>
      <c r="L794" s="0" t="n">
        <f aca="false">Data!A1</f>
        <v>1</v>
      </c>
    </row>
    <row r="795" customFormat="false" ht="12.8" hidden="false" customHeight="false" outlineLevel="0" collapsed="false">
      <c r="K795" s="0" t="s">
        <v>802</v>
      </c>
      <c r="L795" s="0" t="str">
        <f aca="false">Other!B1</f>
        <v>remote</v>
      </c>
    </row>
    <row r="796" customFormat="false" ht="12.8" hidden="false" customHeight="false" outlineLevel="0" collapsed="false">
      <c r="K796" s="0" t="s">
        <v>803</v>
      </c>
      <c r="L796" s="0" t="n">
        <f aca="false">SUM(Data!A1:A3,Other!A1:B1)</f>
        <v>13</v>
      </c>
    </row>
    <row r="797" customFormat="false" ht="12.8" hidden="false" customHeight="false" outlineLevel="0" collapsed="false">
      <c r="K797" s="0" t="s">
        <v>804</v>
      </c>
      <c r="L797" s="0" t="e">
        <f aca="false">Other!A1+H1</f>
        <v>#DIV/0!</v>
      </c>
    </row>
    <row r="798" customFormat="false" ht="12.8" hidden="false" customHeight="false" outlineLevel="0" collapsed="false">
      <c r="K798" s="0" t="s">
        <v>805</v>
      </c>
      <c r="L798" s="0" t="e">
        <f aca="false">SUM(Data!H1:H2)</f>
        <v>#DIV/0!</v>
      </c>
    </row>
    <row r="799" customFormat="false" ht="12.8" hidden="false" customHeight="false" outlineLevel="0" collapsed="false">
      <c r="K799" s="0" t="s">
        <v>806</v>
      </c>
      <c r="L799" s="0" t="n">
        <f aca="false">MAX(Data!C1:C6)-MIN(Other!A1,0)</f>
        <v>1000000</v>
      </c>
    </row>
    <row r="800" customFormat="false" ht="12.8" hidden="false" customHeight="false" outlineLevel="0" collapsed="false">
      <c r="K800" s="0" t="s">
        <v>807</v>
      </c>
      <c r="L800" s="0" t="n">
        <f aca="false">SUM(A1:A3)*Other!A1</f>
        <v>42</v>
      </c>
    </row>
    <row r="801" customFormat="false" ht="12.8" hidden="false" customHeight="false" outlineLevel="0" collapsed="false">
      <c r="K801" s="0" t="s">
        <v>808</v>
      </c>
      <c r="L801" s="0" t="n">
        <f aca="false">SUM(A1:C3 B2:C6)</f>
        <v>-2</v>
      </c>
    </row>
    <row r="802" customFormat="false" ht="12.8" hidden="false" customHeight="false" outlineLevel="0" collapsed="false">
      <c r="K802" s="0" t="s">
        <v>809</v>
      </c>
      <c r="L802" s="0" t="n">
        <f aca="false">A1:A6 A3:C3</f>
        <v>3</v>
      </c>
    </row>
    <row r="803" customFormat="false" ht="12.8" hidden="false" customHeight="false" outlineLevel="0" collapsed="false">
      <c r="K803" s="0" t="s">
        <v>810</v>
      </c>
      <c r="L803" s="0" t="e">
        <f aca="false">SUM(A1:A3 C4:C6)</f>
        <v>#NULL!</v>
      </c>
    </row>
    <row r="804" customFormat="false" ht="12.8" hidden="false" customHeight="false" outlineLevel="0" collapsed="false">
      <c r="K804" s="0" t="s">
        <v>811</v>
      </c>
      <c r="L804" s="1" t="b">
        <f aca="false">ISERROR(A1 C2)</f>
        <v>1</v>
      </c>
    </row>
    <row r="805" customFormat="false" ht="12.8" hidden="false" customHeight="false" outlineLevel="0" collapsed="false">
      <c r="K805" s="0" t="s">
        <v>812</v>
      </c>
      <c r="L805" s="0" t="n">
        <f aca="false">SUM((A1:A3~C1:C2))</f>
        <v>14.5</v>
      </c>
    </row>
    <row r="806" customFormat="false" ht="12.8" hidden="false" customHeight="false" outlineLevel="0" collapsed="false">
      <c r="K806" s="0" t="s">
        <v>813</v>
      </c>
      <c r="L806" s="0" t="n">
        <f aca="false">COUNT((A1~A3~C1:C6))</f>
        <v>8</v>
      </c>
    </row>
    <row r="807" customFormat="false" ht="12.8" hidden="false" customHeight="false" outlineLevel="0" collapsed="false">
      <c r="K807" s="0" t="s">
        <v>814</v>
      </c>
      <c r="L807" s="0" t="n">
        <f aca="false">MAX((A1:A2~C1~F1:F4))</f>
        <v>400</v>
      </c>
    </row>
    <row r="808" customFormat="false" ht="12.8" hidden="false" customHeight="false" outlineLevel="0" collapsed="false">
      <c r="K808" s="0" t="s">
        <v>815</v>
      </c>
      <c r="L808" s="0" t="n">
        <f aca="false">AVERAGE((A1:A2~A5:A6))</f>
        <v>3.5</v>
      </c>
    </row>
    <row r="809" customFormat="false" ht="12.8" hidden="false" customHeight="false" outlineLevel="0" collapsed="false">
      <c r="K809" s="0" t="s">
        <v>816</v>
      </c>
      <c r="L809" s="0" t="n">
        <f aca="false">AREAS(A1:C6)</f>
        <v>1</v>
      </c>
    </row>
    <row r="810" customFormat="false" ht="12.8" hidden="false" customHeight="false" outlineLevel="0" collapsed="false">
      <c r="K810" s="0" t="s">
        <v>817</v>
      </c>
      <c r="L810" s="0" t="n">
        <f aca="false">AREAS((A1:A3~C1~F1:F4))</f>
        <v>3</v>
      </c>
    </row>
    <row r="811" customFormat="false" ht="12.8" hidden="false" customHeight="false" outlineLevel="0" collapsed="false">
      <c r="K811" s="0" t="s">
        <v>818</v>
      </c>
      <c r="L811" s="0" t="n">
        <f aca="false">AREAS(A1:C3 B2:C6)</f>
        <v>1</v>
      </c>
    </row>
    <row r="812" customFormat="false" ht="12.8" hidden="false" customHeight="false" outlineLevel="0" collapsed="false">
      <c r="K812" s="0" t="s">
        <v>819</v>
      </c>
      <c r="L812" s="0" t="n">
        <f aca="false">AREAS((A1~B1))+AREAS(Other!A1)</f>
        <v>3</v>
      </c>
    </row>
    <row r="813" customFormat="false" ht="12.8" hidden="false" customHeight="false" outlineLevel="0" collapsed="false">
      <c r="K813" s="0" t="s">
        <v>820</v>
      </c>
      <c r="L813" s="0" t="n">
        <f aca="false">SUM(Data:Other!A1)</f>
        <v>8</v>
      </c>
    </row>
    <row r="814" customFormat="false" ht="12.8" hidden="false" customHeight="false" outlineLevel="0" collapsed="false">
      <c r="K814" s="0" t="s">
        <v>821</v>
      </c>
      <c r="L814" s="0" t="n">
        <f aca="false">COUNT(Data:Other!A1:A2)</f>
        <v>3</v>
      </c>
    </row>
    <row r="815" customFormat="false" ht="12.8" hidden="false" customHeight="false" outlineLevel="0" collapsed="false">
      <c r="K815" s="0" t="s">
        <v>822</v>
      </c>
      <c r="L815" s="0" t="n">
        <f aca="false">SUM($A:A)</f>
        <v>21</v>
      </c>
    </row>
    <row r="816" customFormat="false" ht="12.8" hidden="false" customHeight="false" outlineLevel="0" collapsed="false">
      <c r="K816" s="0" t="s">
        <v>823</v>
      </c>
      <c r="L816" s="0" t="e">
        <f aca="false">SUM(2:$3)</f>
        <v>#N/A</v>
      </c>
    </row>
    <row r="817" customFormat="false" ht="12.8" hidden="false" customHeight="false" outlineLevel="0" collapsed="false">
      <c r="K817" s="0" t="s">
        <v>824</v>
      </c>
      <c r="L817" s="0" t="e">
        <f aca="false">#DIV/0!</f>
        <v>#DIV/0!</v>
      </c>
    </row>
    <row r="818" customFormat="false" ht="12.8" hidden="false" customHeight="false" outlineLevel="0" collapsed="false">
      <c r="K818" s="0" t="s">
        <v>825</v>
      </c>
      <c r="L818" s="0" t="e">
        <f aca="false">#N/A</f>
        <v>#N/A</v>
      </c>
    </row>
    <row r="819" customFormat="false" ht="12.8" hidden="false" customHeight="false" outlineLevel="0" collapsed="false">
      <c r="K819" s="0" t="s">
        <v>826</v>
      </c>
      <c r="L819" s="0" t="e">
        <f aca="false">#VALUE!</f>
        <v>#VALUE!</v>
      </c>
    </row>
    <row r="820" customFormat="false" ht="12.8" hidden="false" customHeight="false" outlineLevel="0" collapsed="false">
      <c r="K820" s="0" t="s">
        <v>827</v>
      </c>
      <c r="L820" s="0" t="e">
        <f aca="false">#REF!</f>
        <v>#REF!</v>
      </c>
    </row>
    <row r="821" customFormat="false" ht="12.8" hidden="false" customHeight="false" outlineLevel="0" collapsed="false">
      <c r="K821" s="0" t="s">
        <v>828</v>
      </c>
      <c r="L821" s="0" t="e">
        <f aca="false">#NAME?</f>
        <v>#NAME?</v>
      </c>
    </row>
    <row r="822" customFormat="false" ht="12.8" hidden="false" customHeight="false" outlineLevel="0" collapsed="false">
      <c r="K822" s="0" t="s">
        <v>829</v>
      </c>
      <c r="L822" s="0" t="e">
        <f aca="false">#NUM!</f>
        <v>#NUM!</v>
      </c>
    </row>
    <row r="823" customFormat="false" ht="12.8" hidden="false" customHeight="false" outlineLevel="0" collapsed="false">
      <c r="K823" s="0" t="s">
        <v>830</v>
      </c>
      <c r="L823" s="0" t="e">
        <f aca="false">#NULL!</f>
        <v>#NULL!</v>
      </c>
    </row>
    <row r="824" customFormat="false" ht="12.8" hidden="false" customHeight="false" outlineLevel="0" collapsed="false">
      <c r="K824" s="0" t="s">
        <v>831</v>
      </c>
      <c r="L824" s="0" t="str">
        <f aca="false">IFERROR(#DIV/0!,"e")</f>
        <v>e</v>
      </c>
    </row>
    <row r="825" customFormat="false" ht="12.8" hidden="false" customHeight="false" outlineLevel="0" collapsed="false">
      <c r="K825" s="0" t="s">
        <v>832</v>
      </c>
      <c r="L825" s="0" t="str">
        <f aca="false">IFERROR(#N/A,"e")</f>
        <v>e</v>
      </c>
    </row>
    <row r="826" customFormat="false" ht="12.8" hidden="false" customHeight="false" outlineLevel="0" collapsed="false">
      <c r="K826" s="0" t="s">
        <v>833</v>
      </c>
      <c r="L826" s="0" t="str">
        <f aca="false">IFERROR(#VALUE!,"e")</f>
        <v>e</v>
      </c>
    </row>
    <row r="827" customFormat="false" ht="12.8" hidden="false" customHeight="false" outlineLevel="0" collapsed="false">
      <c r="K827" s="0" t="s">
        <v>834</v>
      </c>
      <c r="L827" s="0" t="str">
        <f aca="false">IFERROR(#REF!,"e")</f>
        <v>e</v>
      </c>
    </row>
    <row r="828" customFormat="false" ht="12.8" hidden="false" customHeight="false" outlineLevel="0" collapsed="false">
      <c r="K828" s="0" t="s">
        <v>835</v>
      </c>
      <c r="L828" s="0" t="str">
        <f aca="false">IFERROR(#NAME?,"e")</f>
        <v>e</v>
      </c>
    </row>
    <row r="829" customFormat="false" ht="12.8" hidden="false" customHeight="false" outlineLevel="0" collapsed="false">
      <c r="K829" s="0" t="s">
        <v>836</v>
      </c>
      <c r="L829" s="0" t="str">
        <f aca="false">IFERROR(#NUM!,"e")</f>
        <v>e</v>
      </c>
    </row>
    <row r="830" customFormat="false" ht="12.8" hidden="false" customHeight="false" outlineLevel="0" collapsed="false">
      <c r="K830" s="0" t="s">
        <v>837</v>
      </c>
      <c r="L830" s="0" t="str">
        <f aca="false">IFERROR(#NULL!,"e")</f>
        <v>e</v>
      </c>
    </row>
    <row r="831" customFormat="false" ht="12.8" hidden="false" customHeight="false" outlineLevel="0" collapsed="false">
      <c r="K831" s="0" t="s">
        <v>838</v>
      </c>
      <c r="L831" s="1" t="b">
        <f aca="false">ISERROR(#DIV/0!)</f>
        <v>1</v>
      </c>
    </row>
    <row r="832" customFormat="false" ht="12.8" hidden="false" customHeight="false" outlineLevel="0" collapsed="false">
      <c r="K832" s="0" t="s">
        <v>839</v>
      </c>
      <c r="L832" s="1" t="b">
        <f aca="false">ISERROR(#N/A)</f>
        <v>1</v>
      </c>
    </row>
    <row r="833" customFormat="false" ht="12.8" hidden="false" customHeight="false" outlineLevel="0" collapsed="false">
      <c r="K833" s="0" t="s">
        <v>840</v>
      </c>
      <c r="L833" s="1" t="b">
        <f aca="false">ISERROR(#VALUE!)</f>
        <v>1</v>
      </c>
    </row>
    <row r="834" customFormat="false" ht="12.8" hidden="false" customHeight="false" outlineLevel="0" collapsed="false">
      <c r="K834" s="0" t="s">
        <v>841</v>
      </c>
      <c r="L834" s="1" t="b">
        <f aca="false">ISERROR(#REF!)</f>
        <v>1</v>
      </c>
    </row>
    <row r="835" customFormat="false" ht="12.8" hidden="false" customHeight="false" outlineLevel="0" collapsed="false">
      <c r="K835" s="0" t="s">
        <v>842</v>
      </c>
      <c r="L835" s="1" t="b">
        <f aca="false">ISERROR(#NAME?)</f>
        <v>1</v>
      </c>
    </row>
    <row r="836" customFormat="false" ht="12.8" hidden="false" customHeight="false" outlineLevel="0" collapsed="false">
      <c r="K836" s="0" t="s">
        <v>843</v>
      </c>
      <c r="L836" s="1" t="b">
        <f aca="false">ISERROR(#NUM!)</f>
        <v>1</v>
      </c>
    </row>
    <row r="837" customFormat="false" ht="12.8" hidden="false" customHeight="false" outlineLevel="0" collapsed="false">
      <c r="K837" s="0" t="s">
        <v>844</v>
      </c>
      <c r="L837" s="1" t="b">
        <f aca="false">ISERROR(#NULL!)</f>
        <v>1</v>
      </c>
    </row>
    <row r="838" customFormat="false" ht="12.8" hidden="false" customHeight="false" outlineLevel="0" collapsed="false">
      <c r="K838" s="0" t="s">
        <v>845</v>
      </c>
      <c r="L838" s="1" t="b">
        <f aca="false">ISNA(#N/A)</f>
        <v>1</v>
      </c>
    </row>
    <row r="839" customFormat="false" ht="12.8" hidden="false" customHeight="false" outlineLevel="0" collapsed="false">
      <c r="K839" s="0" t="s">
        <v>846</v>
      </c>
      <c r="L839" s="1" t="b">
        <f aca="false">ISNA(#DIV/0!)</f>
        <v>0</v>
      </c>
    </row>
    <row r="840" customFormat="false" ht="12.8" hidden="false" customHeight="false" outlineLevel="0" collapsed="false">
      <c r="K840" s="0" t="s">
        <v>847</v>
      </c>
      <c r="L840" s="1" t="b">
        <f aca="false">ISNA(#VALUE!)</f>
        <v>0</v>
      </c>
    </row>
    <row r="841" customFormat="false" ht="12.8" hidden="false" customHeight="false" outlineLevel="0" collapsed="false">
      <c r="K841" s="0" t="s">
        <v>848</v>
      </c>
      <c r="L841" s="1" t="b">
        <f aca="false">ISNA(#REF!)</f>
        <v>0</v>
      </c>
    </row>
    <row r="842" customFormat="false" ht="12.8" hidden="false" customHeight="false" outlineLevel="0" collapsed="false">
      <c r="K842" s="0" t="s">
        <v>849</v>
      </c>
      <c r="L842" s="1" t="b">
        <f aca="false">ISNA(#NAME?)</f>
        <v>0</v>
      </c>
    </row>
    <row r="843" customFormat="false" ht="12.8" hidden="false" customHeight="false" outlineLevel="0" collapsed="false">
      <c r="K843" s="0" t="s">
        <v>850</v>
      </c>
      <c r="L843" s="1" t="b">
        <f aca="false">ISNA(#NUM!)</f>
        <v>0</v>
      </c>
    </row>
    <row r="844" customFormat="false" ht="12.8" hidden="false" customHeight="false" outlineLevel="0" collapsed="false">
      <c r="K844" s="0" t="s">
        <v>851</v>
      </c>
      <c r="L844" s="1" t="b">
        <f aca="false">ISNA(#NULL!)</f>
        <v>0</v>
      </c>
    </row>
    <row r="845" customFormat="false" ht="12.8" hidden="false" customHeight="false" outlineLevel="0" collapsed="false">
      <c r="K845" s="0" t="s">
        <v>735</v>
      </c>
      <c r="L845" s="0" t="e">
        <f aca="false">1/0</f>
        <v>#DIV/0!</v>
      </c>
    </row>
    <row r="846" customFormat="false" ht="12.8" hidden="false" customHeight="false" outlineLevel="0" collapsed="false">
      <c r="K846" s="0" t="s">
        <v>116</v>
      </c>
      <c r="L846" s="0" t="e">
        <f aca="false">SQRT(-1)</f>
        <v>#VALUE!</v>
      </c>
    </row>
    <row r="847" customFormat="false" ht="12.8" hidden="false" customHeight="false" outlineLevel="0" collapsed="false">
      <c r="K847" s="0" t="s">
        <v>485</v>
      </c>
      <c r="L847" s="0" t="e">
        <f aca="false">VLOOKUP(999,F1:G4,2,FALSE())</f>
        <v>#N/A</v>
      </c>
    </row>
    <row r="848" customFormat="false" ht="12.8" hidden="false" customHeight="false" outlineLevel="0" collapsed="false">
      <c r="K848" s="0" t="s">
        <v>852</v>
      </c>
      <c r="L848" s="0" t="e">
        <f aca="false">unknownfn(1)</f>
        <v>#NAME?</v>
      </c>
    </row>
    <row r="849" customFormat="false" ht="12.8" hidden="false" customHeight="false" outlineLevel="0" collapsed="false">
      <c r="K849" s="0" t="s">
        <v>513</v>
      </c>
      <c r="L849" s="0" t="e">
        <f aca="false">INDEX(A1:A6,10)</f>
        <v>#REF!</v>
      </c>
    </row>
    <row r="850" customFormat="false" ht="12.8" hidden="false" customHeight="false" outlineLevel="0" collapsed="false">
      <c r="K850" s="0" t="s">
        <v>458</v>
      </c>
      <c r="L850" s="0" t="e">
        <f aca="false">VALUE("abc")</f>
        <v>#VALUE!</v>
      </c>
    </row>
    <row r="851" customFormat="false" ht="12.8" hidden="false" customHeight="false" outlineLevel="0" collapsed="false">
      <c r="K851" s="0" t="s">
        <v>307</v>
      </c>
      <c r="L851" s="0" t="e">
        <f aca="false">NA()</f>
        <v>#N/A</v>
      </c>
    </row>
    <row r="852" customFormat="false" ht="12.8" hidden="false" customHeight="false" outlineLevel="0" collapsed="false">
      <c r="K852" s="0" t="s">
        <v>853</v>
      </c>
      <c r="L852" s="0" t="e">
        <f aca="false">H1</f>
        <v>#DIV/0!</v>
      </c>
    </row>
    <row r="853" customFormat="false" ht="12.8" hidden="false" customHeight="false" outlineLevel="0" collapsed="false">
      <c r="K853" s="0" t="s">
        <v>312</v>
      </c>
      <c r="L853" s="0" t="e">
        <f aca="false">H2</f>
        <v>#N/A</v>
      </c>
    </row>
    <row r="854" customFormat="false" ht="12.8" hidden="false" customHeight="false" outlineLevel="0" collapsed="false">
      <c r="K854" s="0" t="s">
        <v>770</v>
      </c>
      <c r="L854" s="0" t="e">
        <f aca="false">H1+H2</f>
        <v>#N/A</v>
      </c>
    </row>
    <row r="855" customFormat="false" ht="12.8" hidden="false" customHeight="false" outlineLevel="0" collapsed="false">
      <c r="K855" s="0" t="s">
        <v>20</v>
      </c>
      <c r="L855" s="0" t="e">
        <f aca="false">SUM(H1:H2)</f>
        <v>#DIV/0!</v>
      </c>
    </row>
    <row r="856" customFormat="false" ht="12.8" hidden="false" customHeight="false" outlineLevel="0" collapsed="false">
      <c r="K856" s="0" t="s">
        <v>854</v>
      </c>
      <c r="L856" s="0" t="str">
        <f aca="false">IF(ISERROR(H1),"bad","ok")</f>
        <v>bad</v>
      </c>
    </row>
    <row r="857" customFormat="false" ht="12.8" hidden="false" customHeight="false" outlineLevel="0" collapsed="false">
      <c r="K857" s="0" t="s">
        <v>855</v>
      </c>
      <c r="L857" s="0" t="str">
        <f aca="false">IF(ISNA(H2),"na",IF(ISERROR(H2),"err","ok"))</f>
        <v>na</v>
      </c>
    </row>
    <row r="858" customFormat="false" ht="12.8" hidden="false" customHeight="false" outlineLevel="0" collapsed="false">
      <c r="K858" s="0" t="s">
        <v>856</v>
      </c>
      <c r="L858" s="1" t="b">
        <f aca="false">ISERROR(unknownfn(1))</f>
        <v>1</v>
      </c>
    </row>
    <row r="859" customFormat="false" ht="12.8" hidden="false" customHeight="false" outlineLevel="0" collapsed="false">
      <c r="K859" s="0" t="s">
        <v>247</v>
      </c>
      <c r="L859" s="0" t="str">
        <f aca="false">IFERROR(unknownfn(1),"x")</f>
        <v>x</v>
      </c>
    </row>
    <row r="860" customFormat="false" ht="12.8" hidden="false" customHeight="false" outlineLevel="0" collapsed="false">
      <c r="K860" s="0" t="s">
        <v>857</v>
      </c>
      <c r="L860" s="1" t="b">
        <f aca="false">ISNA(unknownfn(1))</f>
        <v>0</v>
      </c>
    </row>
    <row r="861" customFormat="false" ht="12.8" hidden="false" customHeight="false" outlineLevel="0" collapsed="false">
      <c r="K861" s="0" t="s">
        <v>858</v>
      </c>
      <c r="L861" s="0" t="e">
        <f aca="false">#VALUE!+1</f>
        <v>#VALUE!</v>
      </c>
    </row>
    <row r="862" customFormat="false" ht="12.8" hidden="false" customHeight="false" outlineLevel="0" collapsed="false">
      <c r="K862" s="0" t="s">
        <v>859</v>
      </c>
      <c r="L862" s="0" t="e">
        <f aca="false">ABS(#NUM!)</f>
        <v>#NUM!</v>
      </c>
    </row>
    <row r="863" customFormat="false" ht="12.8" hidden="false" customHeight="false" outlineLevel="0" collapsed="false">
      <c r="K863" s="0" t="s">
        <v>860</v>
      </c>
      <c r="L863" s="0" t="e">
        <f aca="false">#N/A&amp;"x"</f>
        <v>#N/A</v>
      </c>
    </row>
    <row r="864" customFormat="false" ht="12.8" hidden="false" customHeight="false" outlineLevel="0" collapsed="false">
      <c r="K864" s="0" t="s">
        <v>861</v>
      </c>
      <c r="L864" s="0" t="e">
        <f aca="false">MAX(#REF!,1)</f>
        <v>#REF!</v>
      </c>
    </row>
    <row r="865" customFormat="false" ht="12.8" hidden="false" customHeight="false" outlineLevel="0" collapsed="false">
      <c r="K865" s="0" t="s">
        <v>862</v>
      </c>
      <c r="L865" s="0" t="e">
        <f aca="false">CHOOSE(2,1,#NAME?)</f>
        <v>#NAME?</v>
      </c>
    </row>
    <row r="866" customFormat="false" ht="12.8" hidden="false" customHeight="false" outlineLevel="0" collapsed="false">
      <c r="K866" s="0" t="s">
        <v>863</v>
      </c>
      <c r="L866" s="0" t="e">
        <f aca="false">SQRT(-1)+1</f>
        <v>#VALUE!</v>
      </c>
    </row>
    <row r="867" customFormat="false" ht="12.8" hidden="false" customHeight="false" outlineLevel="0" collapsed="false">
      <c r="K867" s="0" t="s">
        <v>864</v>
      </c>
      <c r="L867" s="0" t="str">
        <f aca="false">IFERROR(SQRT(-1),"nan")</f>
        <v>nan</v>
      </c>
    </row>
    <row r="868" customFormat="false" ht="12.8" hidden="false" customHeight="false" outlineLevel="0" collapsed="false">
      <c r="K868" s="0" t="s">
        <v>865</v>
      </c>
      <c r="L868" s="1" t="b">
        <f aca="false">ISNA(SQRT(-1))</f>
        <v>0</v>
      </c>
    </row>
    <row r="869" customFormat="false" ht="12.8" hidden="false" customHeight="false" outlineLevel="0" collapsed="false">
      <c r="K869" s="0" t="s">
        <v>866</v>
      </c>
      <c r="L869" s="0" t="e">
        <f aca="false">LEN(#N/A)</f>
        <v>#N/A</v>
      </c>
    </row>
    <row r="870" customFormat="false" ht="12.8" hidden="false" customHeight="false" outlineLevel="0" collapsed="false">
      <c r="K870" s="0" t="s">
        <v>867</v>
      </c>
      <c r="L870" s="0" t="e">
        <f aca="false">unknownfn(H1)</f>
        <v>#NAME?</v>
      </c>
    </row>
    <row r="871" customFormat="false" ht="12.8" hidden="false" customHeight="false" outlineLevel="0" collapsed="false">
      <c r="K871" s="0" t="s">
        <v>868</v>
      </c>
      <c r="L871" s="0" t="e">
        <f aca="false">SUM(unknownfn(1),1)</f>
        <v>#NAME?</v>
      </c>
    </row>
    <row r="872" customFormat="false" ht="12.8" hidden="false" customHeight="false" outlineLevel="0" collapsed="false">
      <c r="K872" s="0" t="s">
        <v>869</v>
      </c>
      <c r="L872" s="0" t="e">
        <f aca="false">MATCH(1,B1:B6,0)</f>
        <v>#N/A</v>
      </c>
    </row>
    <row r="873" customFormat="false" ht="12.8" hidden="false" customHeight="false" outlineLevel="0" collapsed="false">
      <c r="K873" s="0" t="s">
        <v>870</v>
      </c>
      <c r="L873" s="0" t="e">
        <f aca="false">nope!a1</f>
        <v>#NAME?</v>
      </c>
    </row>
    <row r="874" customFormat="false" ht="12.8" hidden="false" customHeight="false" outlineLevel="0" collapsed="false">
      <c r="K874" s="0" t="s">
        <v>871</v>
      </c>
      <c r="L874" s="0" t="e">
        <f aca="false">#N/A+#DIV/0!</f>
        <v>#N/A</v>
      </c>
    </row>
    <row r="875" customFormat="false" ht="12.8" hidden="false" customHeight="false" outlineLevel="0" collapsed="false">
      <c r="K875" s="0" t="s">
        <v>872</v>
      </c>
      <c r="L875" s="0" t="e">
        <f aca="false">#DIV/0!+#N/A</f>
        <v>#DIV/0!</v>
      </c>
    </row>
    <row r="876" customFormat="false" ht="12.8" hidden="false" customHeight="false" outlineLevel="0" collapsed="false">
      <c r="K876" s="0" t="s">
        <v>873</v>
      </c>
      <c r="L876" s="0" t="e">
        <f aca="false">IF(#N/A,1,2)</f>
        <v>#N/A</v>
      </c>
    </row>
    <row r="877" customFormat="false" ht="12.8" hidden="false" customHeight="false" outlineLevel="0" collapsed="false">
      <c r="K877" s="0" t="s">
        <v>874</v>
      </c>
      <c r="L877" s="0" t="e">
        <f aca="false">-#NUM!</f>
        <v>#NUM!</v>
      </c>
    </row>
    <row r="878" customFormat="false" ht="12.8" hidden="false" customHeight="false" outlineLevel="0" collapsed="false">
      <c r="K878" s="0" t="s">
        <v>875</v>
      </c>
      <c r="L878" s="0" t="e">
        <f aca="false">1/0+NA()</f>
        <v>#DIV/0!</v>
      </c>
    </row>
    <row r="879" customFormat="false" ht="12.8" hidden="false" customHeight="false" outlineLevel="0" collapsed="false">
      <c r="K879" s="0" t="s">
        <v>876</v>
      </c>
      <c r="L879" s="0" t="n">
        <f aca="false">TRUNC(8.9)</f>
        <v>8</v>
      </c>
    </row>
    <row r="880" customFormat="false" ht="12.8" hidden="false" customHeight="false" outlineLevel="0" collapsed="false">
      <c r="K880" s="0" t="s">
        <v>877</v>
      </c>
      <c r="L880" s="0" t="n">
        <f aca="false">TRUNC(-8.9)</f>
        <v>-8</v>
      </c>
    </row>
    <row r="881" customFormat="false" ht="12.8" hidden="false" customHeight="false" outlineLevel="0" collapsed="false">
      <c r="K881" s="0" t="s">
        <v>878</v>
      </c>
      <c r="L881" s="0" t="n">
        <f aca="false">TRUNC(3.14159,2)</f>
        <v>3.14</v>
      </c>
    </row>
    <row r="882" customFormat="false" ht="12.8" hidden="false" customHeight="false" outlineLevel="0" collapsed="false">
      <c r="K882" s="0" t="s">
        <v>879</v>
      </c>
      <c r="L882" s="0" t="n">
        <f aca="false">TRUNC(1234.5,-2)</f>
        <v>1200</v>
      </c>
    </row>
    <row r="883" customFormat="false" ht="12.8" hidden="false" customHeight="false" outlineLevel="0" collapsed="false">
      <c r="K883" s="0" t="s">
        <v>880</v>
      </c>
      <c r="L883" s="0" t="n">
        <f aca="false">TRUNC(C1)</f>
        <v>10</v>
      </c>
    </row>
    <row r="884" customFormat="false" ht="12.8" hidden="false" customHeight="false" outlineLevel="0" collapsed="false">
      <c r="K884" s="0" t="s">
        <v>881</v>
      </c>
      <c r="L884" s="0" t="n">
        <f aca="false">_xlfn.CEILING.MATH(6.3)</f>
        <v>7</v>
      </c>
    </row>
    <row r="885" customFormat="false" ht="12.8" hidden="false" customHeight="false" outlineLevel="0" collapsed="false">
      <c r="K885" s="0" t="s">
        <v>882</v>
      </c>
      <c r="L885" s="0" t="n">
        <f aca="false">_xlfn.CEILING.MATH(-5.5,2)</f>
        <v>-4</v>
      </c>
    </row>
    <row r="886" customFormat="false" ht="12.8" hidden="false" customHeight="false" outlineLevel="0" collapsed="false">
      <c r="K886" s="0" t="s">
        <v>883</v>
      </c>
      <c r="L886" s="0" t="n">
        <f aca="false">_xlfn.CEILING.MATH(-5.5,2,1)</f>
        <v>-6</v>
      </c>
    </row>
    <row r="887" customFormat="false" ht="12.8" hidden="false" customHeight="false" outlineLevel="0" collapsed="false">
      <c r="K887" s="0" t="s">
        <v>884</v>
      </c>
      <c r="L887" s="0" t="n">
        <f aca="false">_xlfn.CEILING.MATH(6.3,0)</f>
        <v>0</v>
      </c>
    </row>
    <row r="888" customFormat="false" ht="12.8" hidden="false" customHeight="false" outlineLevel="0" collapsed="false">
      <c r="K888" s="0" t="s">
        <v>885</v>
      </c>
      <c r="L888" s="0" t="n">
        <f aca="false">_xlfn.CEILING.MATH(24.3,5)</f>
        <v>25</v>
      </c>
    </row>
    <row r="889" customFormat="false" ht="12.8" hidden="false" customHeight="false" outlineLevel="0" collapsed="false">
      <c r="K889" s="0" t="s">
        <v>886</v>
      </c>
      <c r="L889" s="0" t="n">
        <f aca="false">_xlfn.FLOOR.MATH(6.7)</f>
        <v>6</v>
      </c>
    </row>
    <row r="890" customFormat="false" ht="12.8" hidden="false" customHeight="false" outlineLevel="0" collapsed="false">
      <c r="K890" s="0" t="s">
        <v>887</v>
      </c>
      <c r="L890" s="0" t="n">
        <f aca="false">_xlfn.FLOOR.MATH(-5.5,2)</f>
        <v>-6</v>
      </c>
    </row>
    <row r="891" customFormat="false" ht="12.8" hidden="false" customHeight="false" outlineLevel="0" collapsed="false">
      <c r="K891" s="0" t="s">
        <v>888</v>
      </c>
      <c r="L891" s="0" t="n">
        <f aca="false">_xlfn.FLOOR.MATH(-5.5,2,1)</f>
        <v>-4</v>
      </c>
    </row>
    <row r="892" customFormat="false" ht="12.8" hidden="false" customHeight="false" outlineLevel="0" collapsed="false">
      <c r="K892" s="0" t="s">
        <v>889</v>
      </c>
      <c r="L892" s="0" t="n">
        <f aca="false">_xlfn.FLOOR.MATH(24.3,5)</f>
        <v>20</v>
      </c>
    </row>
    <row r="893" customFormat="false" ht="12.8" hidden="false" customHeight="false" outlineLevel="0" collapsed="false">
      <c r="K893" s="0" t="s">
        <v>890</v>
      </c>
      <c r="L893" s="0" t="n">
        <f aca="false">FLOOR(3.7,2)</f>
        <v>2</v>
      </c>
    </row>
    <row r="894" customFormat="false" ht="12.8" hidden="false" customHeight="false" outlineLevel="0" collapsed="false">
      <c r="K894" s="0" t="s">
        <v>891</v>
      </c>
      <c r="L894" s="0" t="n">
        <f aca="false">FLOOR(-2.5,2)</f>
        <v>-4</v>
      </c>
    </row>
    <row r="895" customFormat="false" ht="12.8" hidden="false" customHeight="false" outlineLevel="0" collapsed="false">
      <c r="K895" s="0" t="s">
        <v>892</v>
      </c>
      <c r="L895" s="0" t="n">
        <f aca="false">FLOOR(-2.5,-2)</f>
        <v>-2</v>
      </c>
    </row>
    <row r="896" customFormat="false" ht="12.8" hidden="false" customHeight="false" outlineLevel="0" collapsed="false">
      <c r="K896" s="0" t="s">
        <v>893</v>
      </c>
      <c r="L896" s="0" t="e">
        <f aca="false">FLOOR(2.5,-2)</f>
        <v>#VALUE!</v>
      </c>
    </row>
    <row r="897" customFormat="false" ht="12.8" hidden="false" customHeight="false" outlineLevel="0" collapsed="false">
      <c r="K897" s="0" t="s">
        <v>894</v>
      </c>
      <c r="L897" s="0" t="e">
        <f aca="false">FLOOR(3,0)</f>
        <v>#VALUE!</v>
      </c>
    </row>
    <row r="898" customFormat="false" ht="12.8" hidden="false" customHeight="false" outlineLevel="0" collapsed="false">
      <c r="K898" s="0" t="s">
        <v>895</v>
      </c>
      <c r="L898" s="0" t="n">
        <f aca="false">MROUND(10,3)</f>
        <v>9</v>
      </c>
    </row>
    <row r="899" customFormat="false" ht="12.8" hidden="false" customHeight="false" outlineLevel="0" collapsed="false">
      <c r="K899" s="0" t="s">
        <v>896</v>
      </c>
      <c r="L899" s="0" t="n">
        <f aca="false">MROUND(-10,-3)</f>
        <v>-9</v>
      </c>
    </row>
    <row r="900" customFormat="false" ht="12.8" hidden="false" customHeight="false" outlineLevel="0" collapsed="false">
      <c r="K900" s="0" t="s">
        <v>897</v>
      </c>
      <c r="L900" s="0" t="n">
        <f aca="false">MROUND(1.3,0.2)</f>
        <v>1.4</v>
      </c>
    </row>
    <row r="901" customFormat="false" ht="12.8" hidden="false" customHeight="false" outlineLevel="0" collapsed="false">
      <c r="K901" s="0" t="s">
        <v>898</v>
      </c>
      <c r="L901" s="0" t="n">
        <f aca="false">MROUND(5,-2)</f>
        <v>6</v>
      </c>
    </row>
    <row r="902" customFormat="false" ht="12.8" hidden="false" customHeight="false" outlineLevel="0" collapsed="false">
      <c r="K902" s="0" t="s">
        <v>899</v>
      </c>
      <c r="L902" s="0" t="n">
        <f aca="false">MROUND(7,0)</f>
        <v>0</v>
      </c>
    </row>
    <row r="903" customFormat="false" ht="12.8" hidden="false" customHeight="false" outlineLevel="0" collapsed="false">
      <c r="K903" s="0" t="s">
        <v>900</v>
      </c>
      <c r="L903" s="0" t="n">
        <f aca="false">EXP(0)</f>
        <v>1</v>
      </c>
    </row>
    <row r="904" customFormat="false" ht="12.8" hidden="false" customHeight="false" outlineLevel="0" collapsed="false">
      <c r="K904" s="0" t="s">
        <v>901</v>
      </c>
      <c r="L904" s="0" t="n">
        <f aca="false">EXP(1)</f>
        <v>2.71828182845905</v>
      </c>
    </row>
    <row r="905" customFormat="false" ht="12.8" hidden="false" customHeight="false" outlineLevel="0" collapsed="false">
      <c r="K905" s="0" t="s">
        <v>902</v>
      </c>
      <c r="L905" s="0" t="n">
        <f aca="false">EXP(-1)</f>
        <v>0.367879441171442</v>
      </c>
    </row>
    <row r="906" customFormat="false" ht="12.8" hidden="false" customHeight="false" outlineLevel="0" collapsed="false">
      <c r="K906" s="0" t="s">
        <v>903</v>
      </c>
      <c r="L906" s="0" t="n">
        <f aca="false">EXP(A2)</f>
        <v>7.38905609893065</v>
      </c>
    </row>
    <row r="907" customFormat="false" ht="12.8" hidden="false" customHeight="false" outlineLevel="0" collapsed="false">
      <c r="K907" s="0" t="s">
        <v>904</v>
      </c>
      <c r="L907" s="0" t="e">
        <f aca="false">EXP(B1)</f>
        <v>#VALUE!</v>
      </c>
    </row>
    <row r="908" customFormat="false" ht="12.8" hidden="false" customHeight="false" outlineLevel="0" collapsed="false">
      <c r="K908" s="0" t="s">
        <v>905</v>
      </c>
      <c r="L908" s="0" t="n">
        <f aca="false">LN(1)</f>
        <v>0</v>
      </c>
    </row>
    <row r="909" customFormat="false" ht="12.8" hidden="false" customHeight="false" outlineLevel="0" collapsed="false">
      <c r="K909" s="0" t="s">
        <v>906</v>
      </c>
      <c r="L909" s="0" t="n">
        <f aca="false">LN(EXP(2))</f>
        <v>2</v>
      </c>
    </row>
    <row r="910" customFormat="false" ht="12.8" hidden="false" customHeight="false" outlineLevel="0" collapsed="false">
      <c r="K910" s="0" t="s">
        <v>907</v>
      </c>
      <c r="L910" s="0" t="e">
        <f aca="false">LN(0)</f>
        <v>#VALUE!</v>
      </c>
    </row>
    <row r="911" customFormat="false" ht="12.8" hidden="false" customHeight="false" outlineLevel="0" collapsed="false">
      <c r="K911" s="0" t="s">
        <v>908</v>
      </c>
      <c r="L911" s="0" t="e">
        <f aca="false">LN(-1)</f>
        <v>#VALUE!</v>
      </c>
    </row>
    <row r="912" customFormat="false" ht="12.8" hidden="false" customHeight="false" outlineLevel="0" collapsed="false">
      <c r="K912" s="0" t="s">
        <v>909</v>
      </c>
      <c r="L912" s="0" t="n">
        <f aca="false">LN(A6)</f>
        <v>1.79175946922806</v>
      </c>
    </row>
    <row r="913" customFormat="false" ht="12.8" hidden="false" customHeight="false" outlineLevel="0" collapsed="false">
      <c r="K913" s="0" t="s">
        <v>910</v>
      </c>
      <c r="L913" s="0" t="n">
        <f aca="false">LOG(100)</f>
        <v>2</v>
      </c>
    </row>
    <row r="914" customFormat="false" ht="12.8" hidden="false" customHeight="false" outlineLevel="0" collapsed="false">
      <c r="K914" s="0" t="s">
        <v>911</v>
      </c>
      <c r="L914" s="0" t="n">
        <f aca="false">LOG(8,2)</f>
        <v>3</v>
      </c>
    </row>
    <row r="915" customFormat="false" ht="12.8" hidden="false" customHeight="false" outlineLevel="0" collapsed="false">
      <c r="K915" s="0" t="s">
        <v>912</v>
      </c>
      <c r="L915" s="0" t="n">
        <f aca="false">LOG(10,10)</f>
        <v>1</v>
      </c>
    </row>
    <row r="916" customFormat="false" ht="12.8" hidden="false" customHeight="false" outlineLevel="0" collapsed="false">
      <c r="K916" s="0" t="s">
        <v>913</v>
      </c>
      <c r="L916" s="0" t="e">
        <f aca="false">LOG(5,1)</f>
        <v>#VALUE!</v>
      </c>
    </row>
    <row r="917" customFormat="false" ht="12.8" hidden="false" customHeight="false" outlineLevel="0" collapsed="false">
      <c r="K917" s="0" t="s">
        <v>914</v>
      </c>
      <c r="L917" s="0" t="e">
        <f aca="false">LOG(-1)</f>
        <v>#VALUE!</v>
      </c>
    </row>
    <row r="918" customFormat="false" ht="12.8" hidden="false" customHeight="false" outlineLevel="0" collapsed="false">
      <c r="K918" s="0" t="s">
        <v>915</v>
      </c>
      <c r="L918" s="0" t="n">
        <f aca="false">LOG10(1000)</f>
        <v>3</v>
      </c>
    </row>
    <row r="919" customFormat="false" ht="12.8" hidden="false" customHeight="false" outlineLevel="0" collapsed="false">
      <c r="K919" s="0" t="s">
        <v>916</v>
      </c>
      <c r="L919" s="0" t="n">
        <f aca="false">LOG10(0.01)</f>
        <v>-2</v>
      </c>
    </row>
    <row r="920" customFormat="false" ht="12.8" hidden="false" customHeight="false" outlineLevel="0" collapsed="false">
      <c r="K920" s="0" t="s">
        <v>917</v>
      </c>
      <c r="L920" s="0" t="e">
        <f aca="false">LOG10(0)</f>
        <v>#VALUE!</v>
      </c>
    </row>
    <row r="921" customFormat="false" ht="12.8" hidden="false" customHeight="false" outlineLevel="0" collapsed="false">
      <c r="K921" s="0" t="s">
        <v>918</v>
      </c>
      <c r="L921" s="0" t="n">
        <f aca="false">LOG10(A4)</f>
        <v>0.602059991327962</v>
      </c>
    </row>
    <row r="922" customFormat="false" ht="12.8" hidden="false" customHeight="false" outlineLevel="0" collapsed="false">
      <c r="K922" s="0" t="s">
        <v>919</v>
      </c>
      <c r="L922" s="0" t="n">
        <f aca="false">SIGN(-5)</f>
        <v>-1</v>
      </c>
    </row>
    <row r="923" customFormat="false" ht="12.8" hidden="false" customHeight="false" outlineLevel="0" collapsed="false">
      <c r="K923" s="0" t="s">
        <v>920</v>
      </c>
      <c r="L923" s="0" t="n">
        <f aca="false">SIGN(0)</f>
        <v>0</v>
      </c>
    </row>
    <row r="924" customFormat="false" ht="12.8" hidden="false" customHeight="false" outlineLevel="0" collapsed="false">
      <c r="K924" s="0" t="s">
        <v>921</v>
      </c>
      <c r="L924" s="0" t="n">
        <f aca="false">SIGN(C1)</f>
        <v>1</v>
      </c>
    </row>
    <row r="925" customFormat="false" ht="12.8" hidden="false" customHeight="false" outlineLevel="0" collapsed="false">
      <c r="K925" s="0" t="s">
        <v>922</v>
      </c>
      <c r="L925" s="0" t="n">
        <f aca="false">SIGN(C2)</f>
        <v>-1</v>
      </c>
    </row>
    <row r="926" customFormat="false" ht="12.8" hidden="false" customHeight="false" outlineLevel="0" collapsed="false">
      <c r="K926" s="0" t="s">
        <v>923</v>
      </c>
      <c r="L926" s="0" t="e">
        <f aca="false">SIGN(B1)</f>
        <v>#VALUE!</v>
      </c>
    </row>
    <row r="927" customFormat="false" ht="12.8" hidden="false" customHeight="false" outlineLevel="0" collapsed="false">
      <c r="K927" s="0" t="s">
        <v>924</v>
      </c>
      <c r="L927" s="1" t="b">
        <f aca="true">AND(RAND()&gt;=0,RAND()&lt;1)</f>
        <v>1</v>
      </c>
    </row>
    <row r="928" customFormat="false" ht="12.8" hidden="false" customHeight="false" outlineLevel="0" collapsed="false">
      <c r="K928" s="0" t="s">
        <v>925</v>
      </c>
      <c r="L928" s="0" t="n">
        <f aca="true">INT(RAND())</f>
        <v>0</v>
      </c>
    </row>
    <row r="929" customFormat="false" ht="12.8" hidden="false" customHeight="false" outlineLevel="0" collapsed="false">
      <c r="K929" s="0" t="s">
        <v>926</v>
      </c>
      <c r="L929" s="1" t="b">
        <f aca="true">RAND()&lt;&gt;RAND()</f>
        <v>1</v>
      </c>
    </row>
    <row r="930" customFormat="false" ht="12.8" hidden="false" customHeight="false" outlineLevel="0" collapsed="false">
      <c r="K930" s="0" t="s">
        <v>927</v>
      </c>
      <c r="L930" s="0" t="str">
        <f aca="true">IF(RAND()&lt;1,"ok","bad")</f>
        <v>ok</v>
      </c>
    </row>
    <row r="931" customFormat="false" ht="12.8" hidden="false" customHeight="false" outlineLevel="0" collapsed="false">
      <c r="K931" s="0" t="s">
        <v>928</v>
      </c>
      <c r="L931" s="0" t="n">
        <f aca="false">RANDBETWEEN(5,5)</f>
        <v>5</v>
      </c>
    </row>
    <row r="932" customFormat="false" ht="12.8" hidden="false" customHeight="false" outlineLevel="0" collapsed="false">
      <c r="K932" s="0" t="s">
        <v>929</v>
      </c>
      <c r="L932" s="1" t="b">
        <f aca="false">AND(RANDBETWEEN(1,6)&gt;=1,RANDBETWEEN(1,6)&lt;=6)</f>
        <v>1</v>
      </c>
    </row>
    <row r="933" customFormat="false" ht="12.8" hidden="false" customHeight="false" outlineLevel="0" collapsed="false">
      <c r="K933" s="0" t="s">
        <v>930</v>
      </c>
      <c r="L933" s="0" t="e">
        <f aca="false">RANDBETWEEN(3,1)</f>
        <v>#VALUE!</v>
      </c>
    </row>
    <row r="934" customFormat="false" ht="12.8" hidden="false" customHeight="false" outlineLevel="0" collapsed="false">
      <c r="K934" s="0" t="s">
        <v>931</v>
      </c>
      <c r="L934" s="0" t="n">
        <f aca="false">RANDBETWEEN(-2,-2)</f>
        <v>-2</v>
      </c>
    </row>
    <row r="935" customFormat="false" ht="12.8" hidden="false" customHeight="false" outlineLevel="0" collapsed="false">
      <c r="K935" s="0" t="s">
        <v>932</v>
      </c>
      <c r="L935" s="0" t="n">
        <f aca="false">SUMSQ(3,4)</f>
        <v>25</v>
      </c>
    </row>
    <row r="936" customFormat="false" ht="12.8" hidden="false" customHeight="false" outlineLevel="0" collapsed="false">
      <c r="K936" s="0" t="s">
        <v>933</v>
      </c>
      <c r="L936" s="0" t="n">
        <f aca="false">SUMSQ(A1:A3)</f>
        <v>14</v>
      </c>
    </row>
    <row r="937" customFormat="false" ht="12.8" hidden="false" customHeight="false" outlineLevel="0" collapsed="false">
      <c r="K937" s="0" t="s">
        <v>934</v>
      </c>
      <c r="L937" s="0" t="n">
        <f aca="false">SUMSQ(C1:C3)</f>
        <v>114.25</v>
      </c>
    </row>
    <row r="938" customFormat="false" ht="12.8" hidden="false" customHeight="false" outlineLevel="0" collapsed="false">
      <c r="K938" s="0" t="s">
        <v>935</v>
      </c>
      <c r="L938" s="0" t="n">
        <f aca="false">SUMSQ(A1:A2,B1:B3)</f>
        <v>5</v>
      </c>
    </row>
    <row r="939" customFormat="false" ht="12.8" hidden="false" customHeight="false" outlineLevel="0" collapsed="false">
      <c r="K939" s="0" t="s">
        <v>936</v>
      </c>
      <c r="L939" s="0" t="e">
        <f aca="false">SUMSQ(H1)</f>
        <v>#DIV/0!</v>
      </c>
    </row>
    <row r="940" customFormat="false" ht="12.8" hidden="false" customHeight="false" outlineLevel="0" collapsed="false">
      <c r="K940" s="0" t="s">
        <v>937</v>
      </c>
      <c r="L940" s="0" t="n">
        <f aca="false">SQRTPI(1)</f>
        <v>1.77245385090552</v>
      </c>
    </row>
    <row r="941" customFormat="false" ht="12.8" hidden="false" customHeight="false" outlineLevel="0" collapsed="false">
      <c r="K941" s="0" t="s">
        <v>938</v>
      </c>
      <c r="L941" s="0" t="n">
        <f aca="false">SQRTPI(2)</f>
        <v>2.506628274631</v>
      </c>
    </row>
    <row r="942" customFormat="false" ht="12.8" hidden="false" customHeight="false" outlineLevel="0" collapsed="false">
      <c r="K942" s="0" t="s">
        <v>939</v>
      </c>
      <c r="L942" s="0" t="n">
        <f aca="false">SQRTPI(0)</f>
        <v>0</v>
      </c>
    </row>
    <row r="943" customFormat="false" ht="12.8" hidden="false" customHeight="false" outlineLevel="0" collapsed="false">
      <c r="K943" s="0" t="s">
        <v>940</v>
      </c>
      <c r="L943" s="0" t="e">
        <f aca="false">SQRTPI(-1)</f>
        <v>#VALUE!</v>
      </c>
    </row>
    <row r="944" customFormat="false" ht="12.8" hidden="false" customHeight="false" outlineLevel="0" collapsed="false">
      <c r="K944" s="0" t="s">
        <v>941</v>
      </c>
      <c r="L944" s="0" t="n">
        <f aca="false">FACT(5)</f>
        <v>120</v>
      </c>
    </row>
    <row r="945" customFormat="false" ht="12.8" hidden="false" customHeight="false" outlineLevel="0" collapsed="false">
      <c r="K945" s="0" t="s">
        <v>942</v>
      </c>
      <c r="L945" s="0" t="n">
        <f aca="false">FACT(0)</f>
        <v>1</v>
      </c>
    </row>
    <row r="946" customFormat="false" ht="12.8" hidden="false" customHeight="false" outlineLevel="0" collapsed="false">
      <c r="K946" s="0" t="s">
        <v>943</v>
      </c>
      <c r="L946" s="0" t="n">
        <f aca="false">FACT(5.9)</f>
        <v>120</v>
      </c>
    </row>
    <row r="947" customFormat="false" ht="12.8" hidden="false" customHeight="false" outlineLevel="0" collapsed="false">
      <c r="K947" s="0" t="s">
        <v>944</v>
      </c>
      <c r="L947" s="0" t="e">
        <f aca="false">FACT(-1)</f>
        <v>#VALUE!</v>
      </c>
    </row>
    <row r="948" customFormat="false" ht="12.8" hidden="false" customHeight="false" outlineLevel="0" collapsed="false">
      <c r="K948" s="0" t="s">
        <v>945</v>
      </c>
      <c r="L948" s="0" t="e">
        <f aca="false">FACT(171)</f>
        <v>#VALUE!</v>
      </c>
    </row>
    <row r="949" customFormat="false" ht="12.8" hidden="false" customHeight="false" outlineLevel="0" collapsed="false">
      <c r="K949" s="0" t="s">
        <v>946</v>
      </c>
      <c r="L949" s="0" t="n">
        <f aca="false">FACTDOUBLE(6)</f>
        <v>48</v>
      </c>
    </row>
    <row r="950" customFormat="false" ht="12.8" hidden="false" customHeight="false" outlineLevel="0" collapsed="false">
      <c r="K950" s="0" t="s">
        <v>947</v>
      </c>
      <c r="L950" s="0" t="n">
        <f aca="false">FACTDOUBLE(7)</f>
        <v>105</v>
      </c>
    </row>
    <row r="951" customFormat="false" ht="12.8" hidden="false" customHeight="false" outlineLevel="0" collapsed="false">
      <c r="K951" s="0" t="s">
        <v>948</v>
      </c>
      <c r="L951" s="0" t="n">
        <f aca="false">FACTDOUBLE(0)</f>
        <v>1</v>
      </c>
    </row>
    <row r="952" customFormat="false" ht="12.8" hidden="false" customHeight="false" outlineLevel="0" collapsed="false">
      <c r="K952" s="0" t="s">
        <v>949</v>
      </c>
      <c r="L952" s="0" t="e">
        <f aca="false">FACTDOUBLE(-2)</f>
        <v>#VALUE!</v>
      </c>
    </row>
    <row r="953" customFormat="false" ht="12.8" hidden="false" customHeight="false" outlineLevel="0" collapsed="false">
      <c r="K953" s="0" t="s">
        <v>950</v>
      </c>
      <c r="L953" s="0" t="n">
        <f aca="false">COMBIN(8,2)</f>
        <v>28</v>
      </c>
    </row>
    <row r="954" customFormat="false" ht="12.8" hidden="false" customHeight="false" outlineLevel="0" collapsed="false">
      <c r="K954" s="0" t="s">
        <v>951</v>
      </c>
      <c r="L954" s="0" t="n">
        <f aca="false">COMBIN(5,0)</f>
        <v>1</v>
      </c>
    </row>
    <row r="955" customFormat="false" ht="12.8" hidden="false" customHeight="false" outlineLevel="0" collapsed="false">
      <c r="K955" s="0" t="s">
        <v>952</v>
      </c>
      <c r="L955" s="0" t="n">
        <f aca="false">COMBIN(5,5)</f>
        <v>1</v>
      </c>
    </row>
    <row r="956" customFormat="false" ht="12.8" hidden="false" customHeight="false" outlineLevel="0" collapsed="false">
      <c r="K956" s="0" t="s">
        <v>953</v>
      </c>
      <c r="L956" s="0" t="e">
        <f aca="false">COMBIN(3,5)</f>
        <v>#VALUE!</v>
      </c>
    </row>
    <row r="957" customFormat="false" ht="12.8" hidden="false" customHeight="false" outlineLevel="0" collapsed="false">
      <c r="K957" s="0" t="s">
        <v>954</v>
      </c>
      <c r="L957" s="0" t="n">
        <f aca="false">COMBIN(10.9,2.5)</f>
        <v>45</v>
      </c>
    </row>
    <row r="958" customFormat="false" ht="12.8" hidden="false" customHeight="false" outlineLevel="0" collapsed="false">
      <c r="K958" s="0" t="s">
        <v>955</v>
      </c>
      <c r="L958" s="0" t="n">
        <f aca="false">PERMUT(5,2)</f>
        <v>20</v>
      </c>
    </row>
    <row r="959" customFormat="false" ht="12.8" hidden="false" customHeight="false" outlineLevel="0" collapsed="false">
      <c r="K959" s="0" t="s">
        <v>956</v>
      </c>
      <c r="L959" s="0" t="n">
        <f aca="false">PERMUT(3,3)</f>
        <v>6</v>
      </c>
    </row>
    <row r="960" customFormat="false" ht="12.8" hidden="false" customHeight="false" outlineLevel="0" collapsed="false">
      <c r="K960" s="0" t="s">
        <v>957</v>
      </c>
      <c r="L960" s="0" t="n">
        <f aca="false">PERMUT(3,0)</f>
        <v>1</v>
      </c>
    </row>
    <row r="961" customFormat="false" ht="12.8" hidden="false" customHeight="false" outlineLevel="0" collapsed="false">
      <c r="K961" s="0" t="s">
        <v>958</v>
      </c>
      <c r="L961" s="0" t="e">
        <f aca="false">PERMUT(2,3)</f>
        <v>#VALUE!</v>
      </c>
    </row>
    <row r="962" customFormat="false" ht="12.8" hidden="false" customHeight="false" outlineLevel="0" collapsed="false">
      <c r="K962" s="0" t="s">
        <v>959</v>
      </c>
      <c r="L962" s="0" t="n">
        <f aca="false">GCD(24,36)</f>
        <v>12</v>
      </c>
    </row>
    <row r="963" customFormat="false" ht="12.8" hidden="false" customHeight="false" outlineLevel="0" collapsed="false">
      <c r="K963" s="0" t="s">
        <v>960</v>
      </c>
      <c r="L963" s="0" t="n">
        <f aca="false">GCD(5,0)</f>
        <v>5</v>
      </c>
    </row>
    <row r="964" customFormat="false" ht="12.8" hidden="false" customHeight="false" outlineLevel="0" collapsed="false">
      <c r="K964" s="0" t="s">
        <v>961</v>
      </c>
      <c r="L964" s="0" t="n">
        <f aca="false">GCD(A1:A6)</f>
        <v>1</v>
      </c>
    </row>
    <row r="965" customFormat="false" ht="12.8" hidden="false" customHeight="false" outlineLevel="0" collapsed="false">
      <c r="K965" s="0" t="s">
        <v>962</v>
      </c>
      <c r="L965" s="0" t="e">
        <f aca="false">GCD(-1,2)</f>
        <v>#VALUE!</v>
      </c>
    </row>
    <row r="966" customFormat="false" ht="12.8" hidden="false" customHeight="false" outlineLevel="0" collapsed="false">
      <c r="K966" s="0" t="s">
        <v>963</v>
      </c>
      <c r="L966" s="0" t="n">
        <f aca="false">GCD(7.9,14)</f>
        <v>7</v>
      </c>
    </row>
    <row r="967" customFormat="false" ht="12.8" hidden="false" customHeight="false" outlineLevel="0" collapsed="false">
      <c r="K967" s="0" t="s">
        <v>964</v>
      </c>
      <c r="L967" s="0" t="n">
        <f aca="false">LCM(4,6)</f>
        <v>12</v>
      </c>
    </row>
    <row r="968" customFormat="false" ht="12.8" hidden="false" customHeight="false" outlineLevel="0" collapsed="false">
      <c r="K968" s="0" t="s">
        <v>965</v>
      </c>
      <c r="L968" s="0" t="n">
        <f aca="false">LCM(A1:A6)</f>
        <v>60</v>
      </c>
    </row>
    <row r="969" customFormat="false" ht="12.8" hidden="false" customHeight="false" outlineLevel="0" collapsed="false">
      <c r="K969" s="0" t="s">
        <v>966</v>
      </c>
      <c r="L969" s="0" t="n">
        <f aca="false">LCM(0,5)</f>
        <v>0</v>
      </c>
    </row>
    <row r="970" customFormat="false" ht="12.8" hidden="false" customHeight="false" outlineLevel="0" collapsed="false">
      <c r="K970" s="0" t="s">
        <v>967</v>
      </c>
      <c r="L970" s="0" t="e">
        <f aca="false">LCM(-1,2)</f>
        <v>#VALUE!</v>
      </c>
    </row>
    <row r="971" customFormat="false" ht="12.8" hidden="false" customHeight="false" outlineLevel="0" collapsed="false">
      <c r="K971" s="0" t="s">
        <v>968</v>
      </c>
      <c r="L971" s="0" t="n">
        <f aca="false">QUOTIENT(7,2)</f>
        <v>3</v>
      </c>
    </row>
    <row r="972" customFormat="false" ht="12.8" hidden="false" customHeight="false" outlineLevel="0" collapsed="false">
      <c r="K972" s="0" t="s">
        <v>969</v>
      </c>
      <c r="L972" s="0" t="n">
        <f aca="false">QUOTIENT(-7,2)</f>
        <v>-3</v>
      </c>
    </row>
    <row r="973" customFormat="false" ht="12.8" hidden="false" customHeight="false" outlineLevel="0" collapsed="false">
      <c r="K973" s="0" t="s">
        <v>970</v>
      </c>
      <c r="L973" s="0" t="e">
        <f aca="false">QUOTIENT(5,0)</f>
        <v>#VALUE!</v>
      </c>
    </row>
    <row r="974" customFormat="false" ht="12.8" hidden="false" customHeight="false" outlineLevel="0" collapsed="false">
      <c r="K974" s="0" t="s">
        <v>971</v>
      </c>
      <c r="L974" s="0" t="n">
        <f aca="false">QUOTIENT(C1,A2)</f>
        <v>5</v>
      </c>
    </row>
    <row r="975" customFormat="false" ht="12.8" hidden="false" customHeight="false" outlineLevel="0" collapsed="false">
      <c r="K975" s="0" t="s">
        <v>972</v>
      </c>
      <c r="L975" s="0" t="n">
        <f aca="false">EVEN(3)</f>
        <v>4</v>
      </c>
    </row>
    <row r="976" customFormat="false" ht="12.8" hidden="false" customHeight="false" outlineLevel="0" collapsed="false">
      <c r="K976" s="0" t="s">
        <v>973</v>
      </c>
      <c r="L976" s="0" t="n">
        <f aca="false">EVEN(-1)</f>
        <v>-2</v>
      </c>
    </row>
    <row r="977" customFormat="false" ht="12.8" hidden="false" customHeight="false" outlineLevel="0" collapsed="false">
      <c r="K977" s="0" t="s">
        <v>974</v>
      </c>
      <c r="L977" s="0" t="n">
        <f aca="false">EVEN(2)</f>
        <v>2</v>
      </c>
    </row>
    <row r="978" customFormat="false" ht="12.8" hidden="false" customHeight="false" outlineLevel="0" collapsed="false">
      <c r="K978" s="0" t="s">
        <v>975</v>
      </c>
      <c r="L978" s="0" t="n">
        <f aca="false">EVEN(1.5)</f>
        <v>2</v>
      </c>
    </row>
    <row r="979" customFormat="false" ht="12.8" hidden="false" customHeight="false" outlineLevel="0" collapsed="false">
      <c r="K979" s="0" t="s">
        <v>976</v>
      </c>
      <c r="L979" s="0" t="n">
        <f aca="false">EVEN(0)</f>
        <v>0</v>
      </c>
    </row>
    <row r="980" customFormat="false" ht="12.8" hidden="false" customHeight="false" outlineLevel="0" collapsed="false">
      <c r="K980" s="0" t="s">
        <v>977</v>
      </c>
      <c r="L980" s="0" t="n">
        <f aca="false">ODD(2)</f>
        <v>3</v>
      </c>
    </row>
    <row r="981" customFormat="false" ht="12.8" hidden="false" customHeight="false" outlineLevel="0" collapsed="false">
      <c r="K981" s="0" t="s">
        <v>978</v>
      </c>
      <c r="L981" s="0" t="n">
        <f aca="false">ODD(-2)</f>
        <v>-3</v>
      </c>
    </row>
    <row r="982" customFormat="false" ht="12.8" hidden="false" customHeight="false" outlineLevel="0" collapsed="false">
      <c r="K982" s="0" t="s">
        <v>979</v>
      </c>
      <c r="L982" s="0" t="n">
        <f aca="false">ODD(3)</f>
        <v>3</v>
      </c>
    </row>
    <row r="983" customFormat="false" ht="12.8" hidden="false" customHeight="false" outlineLevel="0" collapsed="false">
      <c r="K983" s="0" t="s">
        <v>980</v>
      </c>
      <c r="L983" s="0" t="n">
        <f aca="false">ODD(1.5)</f>
        <v>3</v>
      </c>
    </row>
    <row r="984" customFormat="false" ht="12.8" hidden="false" customHeight="false" outlineLevel="0" collapsed="false">
      <c r="K984" s="0" t="s">
        <v>981</v>
      </c>
      <c r="L984" s="0" t="n">
        <f aca="false">ODD(0)</f>
        <v>1</v>
      </c>
    </row>
    <row r="985" customFormat="false" ht="12.8" hidden="false" customHeight="false" outlineLevel="0" collapsed="false">
      <c r="K985" s="0" t="s">
        <v>982</v>
      </c>
      <c r="L985" s="0" t="n">
        <f aca="false">SIN(0)</f>
        <v>0</v>
      </c>
    </row>
    <row r="986" customFormat="false" ht="12.8" hidden="false" customHeight="false" outlineLevel="0" collapsed="false">
      <c r="K986" s="0" t="s">
        <v>983</v>
      </c>
      <c r="L986" s="0" t="n">
        <f aca="false">SIN(PI()/2)</f>
        <v>1</v>
      </c>
    </row>
    <row r="987" customFormat="false" ht="12.8" hidden="false" customHeight="false" outlineLevel="0" collapsed="false">
      <c r="K987" s="0" t="s">
        <v>984</v>
      </c>
      <c r="L987" s="0" t="n">
        <f aca="false">SIN(1)</f>
        <v>0.841470984807897</v>
      </c>
    </row>
    <row r="988" customFormat="false" ht="12.8" hidden="false" customHeight="false" outlineLevel="0" collapsed="false">
      <c r="K988" s="0" t="s">
        <v>985</v>
      </c>
      <c r="L988" s="0" t="e">
        <f aca="false">SIN(B1)</f>
        <v>#VALUE!</v>
      </c>
    </row>
    <row r="989" customFormat="false" ht="12.8" hidden="false" customHeight="false" outlineLevel="0" collapsed="false">
      <c r="K989" s="0" t="s">
        <v>986</v>
      </c>
      <c r="L989" s="0" t="n">
        <f aca="false">COS(0)</f>
        <v>1</v>
      </c>
    </row>
    <row r="990" customFormat="false" ht="12.8" hidden="false" customHeight="false" outlineLevel="0" collapsed="false">
      <c r="K990" s="0" t="s">
        <v>987</v>
      </c>
      <c r="L990" s="0" t="n">
        <f aca="false">COS(PI())</f>
        <v>-1</v>
      </c>
    </row>
    <row r="991" customFormat="false" ht="12.8" hidden="false" customHeight="false" outlineLevel="0" collapsed="false">
      <c r="K991" s="0" t="s">
        <v>988</v>
      </c>
      <c r="L991" s="0" t="n">
        <f aca="false">COS(1)</f>
        <v>0.54030230586814</v>
      </c>
    </row>
    <row r="992" customFormat="false" ht="12.8" hidden="false" customHeight="false" outlineLevel="0" collapsed="false">
      <c r="K992" s="0" t="s">
        <v>989</v>
      </c>
      <c r="L992" s="0" t="e">
        <f aca="false">COS(H1)</f>
        <v>#DIV/0!</v>
      </c>
    </row>
    <row r="993" customFormat="false" ht="12.8" hidden="false" customHeight="false" outlineLevel="0" collapsed="false">
      <c r="K993" s="0" t="s">
        <v>990</v>
      </c>
      <c r="L993" s="0" t="n">
        <f aca="false">TAN(0)</f>
        <v>0</v>
      </c>
    </row>
    <row r="994" customFormat="false" ht="12.8" hidden="false" customHeight="false" outlineLevel="0" collapsed="false">
      <c r="K994" s="0" t="s">
        <v>991</v>
      </c>
      <c r="L994" s="0" t="n">
        <f aca="false">TAN(1)</f>
        <v>1.5574077246549</v>
      </c>
    </row>
    <row r="995" customFormat="false" ht="12.8" hidden="false" customHeight="false" outlineLevel="0" collapsed="false">
      <c r="K995" s="0" t="s">
        <v>992</v>
      </c>
      <c r="L995" s="0" t="n">
        <f aca="false">TAN(-1)</f>
        <v>-1.5574077246549</v>
      </c>
    </row>
    <row r="996" customFormat="false" ht="12.8" hidden="false" customHeight="false" outlineLevel="0" collapsed="false">
      <c r="K996" s="0" t="s">
        <v>993</v>
      </c>
      <c r="L996" s="0" t="n">
        <f aca="false">TAN(A2)</f>
        <v>-2.18503986326152</v>
      </c>
    </row>
    <row r="997" customFormat="false" ht="12.8" hidden="false" customHeight="false" outlineLevel="0" collapsed="false">
      <c r="K997" s="0" t="s">
        <v>994</v>
      </c>
      <c r="L997" s="0" t="n">
        <f aca="false">ASIN(1)</f>
        <v>1.5707963267949</v>
      </c>
    </row>
    <row r="998" customFormat="false" ht="12.8" hidden="false" customHeight="false" outlineLevel="0" collapsed="false">
      <c r="K998" s="0" t="s">
        <v>995</v>
      </c>
      <c r="L998" s="0" t="n">
        <f aca="false">ASIN(0.5)</f>
        <v>0.523598775598299</v>
      </c>
    </row>
    <row r="999" customFormat="false" ht="12.8" hidden="false" customHeight="false" outlineLevel="0" collapsed="false">
      <c r="K999" s="0" t="s">
        <v>996</v>
      </c>
      <c r="L999" s="0" t="e">
        <f aca="false">ASIN(2)</f>
        <v>#NUM!</v>
      </c>
    </row>
    <row r="1000" customFormat="false" ht="12.8" hidden="false" customHeight="false" outlineLevel="0" collapsed="false">
      <c r="K1000" s="0" t="s">
        <v>997</v>
      </c>
      <c r="L1000" s="0" t="n">
        <f aca="false">ASIN(-1)</f>
        <v>-1.5707963267949</v>
      </c>
    </row>
    <row r="1001" customFormat="false" ht="12.8" hidden="false" customHeight="false" outlineLevel="0" collapsed="false">
      <c r="K1001" s="0" t="s">
        <v>998</v>
      </c>
      <c r="L1001" s="0" t="n">
        <f aca="false">ACOS(1)</f>
        <v>0</v>
      </c>
    </row>
    <row r="1002" customFormat="false" ht="12.8" hidden="false" customHeight="false" outlineLevel="0" collapsed="false">
      <c r="K1002" s="0" t="s">
        <v>999</v>
      </c>
      <c r="L1002" s="0" t="n">
        <f aca="false">ACOS(-1)</f>
        <v>3.14159265358979</v>
      </c>
    </row>
    <row r="1003" customFormat="false" ht="12.8" hidden="false" customHeight="false" outlineLevel="0" collapsed="false">
      <c r="K1003" s="0" t="s">
        <v>1000</v>
      </c>
      <c r="L1003" s="0" t="n">
        <f aca="false">ACOS(0.5)</f>
        <v>1.0471975511966</v>
      </c>
    </row>
    <row r="1004" customFormat="false" ht="12.8" hidden="false" customHeight="false" outlineLevel="0" collapsed="false">
      <c r="K1004" s="0" t="s">
        <v>1001</v>
      </c>
      <c r="L1004" s="0" t="e">
        <f aca="false">ACOS(2)</f>
        <v>#NUM!</v>
      </c>
    </row>
    <row r="1005" customFormat="false" ht="12.8" hidden="false" customHeight="false" outlineLevel="0" collapsed="false">
      <c r="K1005" s="0" t="s">
        <v>1002</v>
      </c>
      <c r="L1005" s="0" t="n">
        <f aca="false">ATAN(1)</f>
        <v>0.785398163397448</v>
      </c>
    </row>
    <row r="1006" customFormat="false" ht="12.8" hidden="false" customHeight="false" outlineLevel="0" collapsed="false">
      <c r="K1006" s="0" t="s">
        <v>1003</v>
      </c>
      <c r="L1006" s="0" t="n">
        <f aca="false">ATAN(0)</f>
        <v>0</v>
      </c>
    </row>
    <row r="1007" customFormat="false" ht="12.8" hidden="false" customHeight="false" outlineLevel="0" collapsed="false">
      <c r="K1007" s="0" t="s">
        <v>1004</v>
      </c>
      <c r="L1007" s="0" t="n">
        <f aca="false">ATAN(-1)</f>
        <v>-0.785398163397448</v>
      </c>
    </row>
    <row r="1008" customFormat="false" ht="12.8" hidden="false" customHeight="false" outlineLevel="0" collapsed="false">
      <c r="K1008" s="0" t="s">
        <v>1005</v>
      </c>
      <c r="L1008" s="0" t="n">
        <f aca="false">ATAN(1000000)</f>
        <v>1.5707953267949</v>
      </c>
    </row>
    <row r="1009" customFormat="false" ht="12.8" hidden="false" customHeight="false" outlineLevel="0" collapsed="false">
      <c r="K1009" s="0" t="s">
        <v>1006</v>
      </c>
      <c r="L1009" s="0" t="n">
        <f aca="false">ATAN2(1,1)</f>
        <v>0.785398163397448</v>
      </c>
    </row>
    <row r="1010" customFormat="false" ht="12.8" hidden="false" customHeight="false" outlineLevel="0" collapsed="false">
      <c r="K1010" s="0" t="s">
        <v>1007</v>
      </c>
      <c r="L1010" s="0" t="n">
        <f aca="false">ATAN2(-1,-1)</f>
        <v>-2.35619449019235</v>
      </c>
    </row>
    <row r="1011" customFormat="false" ht="12.8" hidden="false" customHeight="false" outlineLevel="0" collapsed="false">
      <c r="K1011" s="0" t="s">
        <v>1008</v>
      </c>
      <c r="L1011" s="0" t="n">
        <f aca="false">ATAN2(0,0)</f>
        <v>0</v>
      </c>
    </row>
    <row r="1012" customFormat="false" ht="12.8" hidden="false" customHeight="false" outlineLevel="0" collapsed="false">
      <c r="K1012" s="0" t="s">
        <v>1009</v>
      </c>
      <c r="L1012" s="0" t="n">
        <f aca="false">ATAN2(1,0)</f>
        <v>0</v>
      </c>
    </row>
    <row r="1013" customFormat="false" ht="12.8" hidden="false" customHeight="false" outlineLevel="0" collapsed="false">
      <c r="K1013" s="0" t="s">
        <v>1010</v>
      </c>
      <c r="L1013" s="0" t="n">
        <f aca="false">SINH(1)</f>
        <v>1.1752011936438</v>
      </c>
    </row>
    <row r="1014" customFormat="false" ht="12.8" hidden="false" customHeight="false" outlineLevel="0" collapsed="false">
      <c r="K1014" s="0" t="s">
        <v>1011</v>
      </c>
      <c r="L1014" s="0" t="n">
        <f aca="false">SINH(0)</f>
        <v>0</v>
      </c>
    </row>
    <row r="1015" customFormat="false" ht="12.8" hidden="false" customHeight="false" outlineLevel="0" collapsed="false">
      <c r="K1015" s="0" t="s">
        <v>1012</v>
      </c>
      <c r="L1015" s="0" t="n">
        <f aca="false">SINH(-2)</f>
        <v>-3.62686040784702</v>
      </c>
    </row>
    <row r="1016" customFormat="false" ht="12.8" hidden="false" customHeight="false" outlineLevel="0" collapsed="false">
      <c r="K1016" s="0" t="s">
        <v>1013</v>
      </c>
      <c r="L1016" s="0" t="e">
        <f aca="false">SINH(B1)</f>
        <v>#VALUE!</v>
      </c>
    </row>
    <row r="1017" customFormat="false" ht="12.8" hidden="false" customHeight="false" outlineLevel="0" collapsed="false">
      <c r="K1017" s="0" t="s">
        <v>1014</v>
      </c>
      <c r="L1017" s="0" t="n">
        <f aca="false">COSH(0)</f>
        <v>1</v>
      </c>
    </row>
    <row r="1018" customFormat="false" ht="12.8" hidden="false" customHeight="false" outlineLevel="0" collapsed="false">
      <c r="K1018" s="0" t="s">
        <v>1015</v>
      </c>
      <c r="L1018" s="0" t="n">
        <f aca="false">COSH(1)</f>
        <v>1.54308063481524</v>
      </c>
    </row>
    <row r="1019" customFormat="false" ht="12.8" hidden="false" customHeight="false" outlineLevel="0" collapsed="false">
      <c r="K1019" s="0" t="s">
        <v>1016</v>
      </c>
      <c r="L1019" s="0" t="n">
        <f aca="false">COSH(-2)</f>
        <v>3.76219569108363</v>
      </c>
    </row>
    <row r="1020" customFormat="false" ht="12.8" hidden="false" customHeight="false" outlineLevel="0" collapsed="false">
      <c r="K1020" s="0" t="s">
        <v>1017</v>
      </c>
      <c r="L1020" s="0" t="e">
        <f aca="false">COSH(H2)</f>
        <v>#N/A</v>
      </c>
    </row>
    <row r="1021" customFormat="false" ht="12.8" hidden="false" customHeight="false" outlineLevel="0" collapsed="false">
      <c r="K1021" s="0" t="s">
        <v>1018</v>
      </c>
      <c r="L1021" s="0" t="n">
        <f aca="false">TANH(0)</f>
        <v>0</v>
      </c>
    </row>
    <row r="1022" customFormat="false" ht="12.8" hidden="false" customHeight="false" outlineLevel="0" collapsed="false">
      <c r="K1022" s="0" t="s">
        <v>1019</v>
      </c>
      <c r="L1022" s="0" t="n">
        <f aca="false">TANH(1)</f>
        <v>0.761594155955765</v>
      </c>
    </row>
    <row r="1023" customFormat="false" ht="12.8" hidden="false" customHeight="false" outlineLevel="0" collapsed="false">
      <c r="K1023" s="0" t="s">
        <v>1020</v>
      </c>
      <c r="L1023" s="0" t="n">
        <f aca="false">TANH(-0.5)</f>
        <v>-0.46211715726001</v>
      </c>
    </row>
    <row r="1024" customFormat="false" ht="12.8" hidden="false" customHeight="false" outlineLevel="0" collapsed="false">
      <c r="K1024" s="0" t="s">
        <v>1021</v>
      </c>
      <c r="L1024" s="0" t="n">
        <f aca="false">TANH(100)</f>
        <v>1</v>
      </c>
    </row>
    <row r="1025" customFormat="false" ht="12.8" hidden="false" customHeight="false" outlineLevel="0" collapsed="false">
      <c r="K1025" s="0" t="s">
        <v>1022</v>
      </c>
      <c r="L1025" s="0" t="n">
        <f aca="false">DEGREES(PI())</f>
        <v>180</v>
      </c>
    </row>
    <row r="1026" customFormat="false" ht="12.8" hidden="false" customHeight="false" outlineLevel="0" collapsed="false">
      <c r="K1026" s="0" t="s">
        <v>1023</v>
      </c>
      <c r="L1026" s="0" t="n">
        <f aca="false">DEGREES(1)</f>
        <v>57.2957795130823</v>
      </c>
    </row>
    <row r="1027" customFormat="false" ht="12.8" hidden="false" customHeight="false" outlineLevel="0" collapsed="false">
      <c r="K1027" s="0" t="s">
        <v>1024</v>
      </c>
      <c r="L1027" s="0" t="n">
        <f aca="false">DEGREES(0)</f>
        <v>0</v>
      </c>
    </row>
    <row r="1028" customFormat="false" ht="12.8" hidden="false" customHeight="false" outlineLevel="0" collapsed="false">
      <c r="K1028" s="0" t="s">
        <v>1025</v>
      </c>
      <c r="L1028" s="0" t="e">
        <f aca="false">DEGREES(B1)</f>
        <v>#VALUE!</v>
      </c>
    </row>
    <row r="1029" customFormat="false" ht="12.8" hidden="false" customHeight="false" outlineLevel="0" collapsed="false">
      <c r="K1029" s="0" t="s">
        <v>1026</v>
      </c>
      <c r="L1029" s="0" t="n">
        <f aca="false">RADIANS(180)</f>
        <v>3.14159265358979</v>
      </c>
    </row>
    <row r="1030" customFormat="false" ht="12.8" hidden="false" customHeight="false" outlineLevel="0" collapsed="false">
      <c r="K1030" s="0" t="s">
        <v>1027</v>
      </c>
      <c r="L1030" s="0" t="n">
        <f aca="false">RADIANS(90)</f>
        <v>1.5707963267949</v>
      </c>
    </row>
    <row r="1031" customFormat="false" ht="12.8" hidden="false" customHeight="false" outlineLevel="0" collapsed="false">
      <c r="K1031" s="0" t="s">
        <v>1028</v>
      </c>
      <c r="L1031" s="0" t="n">
        <f aca="false">RADIANS(0)</f>
        <v>0</v>
      </c>
    </row>
    <row r="1032" customFormat="false" ht="12.8" hidden="false" customHeight="false" outlineLevel="0" collapsed="false">
      <c r="K1032" s="0" t="s">
        <v>1029</v>
      </c>
      <c r="L1032" s="0" t="n">
        <f aca="false">RADIANS(-45)</f>
        <v>-0.785398163397448</v>
      </c>
    </row>
    <row r="1033" customFormat="false" ht="12.8" hidden="false" customHeight="false" outlineLevel="0" collapsed="false">
      <c r="K1033" s="0" t="s">
        <v>1030</v>
      </c>
      <c r="L1033" s="0" t="n">
        <f aca="false">SUMX2MY2({2,3,9,1,8,7,5},{6,5,11,7,5,4,4})</f>
        <v>-55</v>
      </c>
    </row>
    <row r="1034" customFormat="false" ht="12.8" hidden="false" customHeight="false" outlineLevel="0" collapsed="false">
      <c r="K1034" s="0" t="s">
        <v>1031</v>
      </c>
      <c r="L1034" s="0" t="n">
        <f aca="false">SUMX2MY2(A1:A3,A4:A6)</f>
        <v>-63</v>
      </c>
    </row>
    <row r="1035" customFormat="false" ht="12.8" hidden="false" customHeight="false" outlineLevel="0" collapsed="false">
      <c r="K1035" s="0" t="s">
        <v>1032</v>
      </c>
      <c r="L1035" s="0" t="e">
        <f aca="false">SUMX2MY2(A1:A3,A1:A4)</f>
        <v>#VALUE!</v>
      </c>
    </row>
    <row r="1036" customFormat="false" ht="12.8" hidden="false" customHeight="false" outlineLevel="0" collapsed="false">
      <c r="K1036" s="0" t="s">
        <v>1033</v>
      </c>
      <c r="L1036" s="0" t="e">
        <f aca="false">SUMX2MY2(A1:A3,H1:H3)</f>
        <v>#DIV/0!</v>
      </c>
    </row>
    <row r="1037" customFormat="false" ht="12.8" hidden="false" customHeight="false" outlineLevel="0" collapsed="false">
      <c r="K1037" s="0" t="s">
        <v>1034</v>
      </c>
      <c r="L1037" s="0" t="n">
        <f aca="false">SUMX2PY2({2,3,9,1,8,7,5},{6,5,11,7,5,4,4})</f>
        <v>521</v>
      </c>
    </row>
    <row r="1038" customFormat="false" ht="12.8" hidden="false" customHeight="false" outlineLevel="0" collapsed="false">
      <c r="K1038" s="0" t="s">
        <v>1035</v>
      </c>
      <c r="L1038" s="0" t="n">
        <f aca="false">SUMX2PY2(A1:A3,A4:A6)</f>
        <v>91</v>
      </c>
    </row>
    <row r="1039" customFormat="false" ht="12.8" hidden="false" customHeight="false" outlineLevel="0" collapsed="false">
      <c r="K1039" s="0" t="s">
        <v>1036</v>
      </c>
      <c r="L1039" s="0" t="e">
        <f aca="false">SUMX2PY2(A1:A3,A1:A4)</f>
        <v>#VALUE!</v>
      </c>
    </row>
    <row r="1040" customFormat="false" ht="12.8" hidden="false" customHeight="false" outlineLevel="0" collapsed="false">
      <c r="K1040" s="0" t="s">
        <v>1037</v>
      </c>
      <c r="L1040" s="0" t="n">
        <f aca="false">SUMX2PY2(F1:F2,A1:A2)</f>
        <v>50005</v>
      </c>
    </row>
    <row r="1041" customFormat="false" ht="12.8" hidden="false" customHeight="false" outlineLevel="0" collapsed="false">
      <c r="K1041" s="0" t="s">
        <v>1038</v>
      </c>
      <c r="L1041" s="0" t="n">
        <f aca="false">SUBTOTAL(9,A1:A6)</f>
        <v>21</v>
      </c>
    </row>
    <row r="1042" customFormat="false" ht="12.8" hidden="false" customHeight="false" outlineLevel="0" collapsed="false">
      <c r="K1042" s="0" t="s">
        <v>1039</v>
      </c>
      <c r="L1042" s="0" t="n">
        <f aca="false">SUBTOTAL(109,A1:A6,C1:C6)</f>
        <v>1000132.75</v>
      </c>
    </row>
    <row r="1043" customFormat="false" ht="12.8" hidden="false" customHeight="false" outlineLevel="0" collapsed="false">
      <c r="K1043" s="0" t="s">
        <v>1040</v>
      </c>
      <c r="L1043" s="0" t="n">
        <f aca="false">SUBTOTAL(1,C1:C6)</f>
        <v>166685.291666667</v>
      </c>
    </row>
    <row r="1044" customFormat="false" ht="12.8" hidden="false" customHeight="false" outlineLevel="0" collapsed="false">
      <c r="K1044" s="0" t="s">
        <v>1041</v>
      </c>
      <c r="L1044" s="0" t="n">
        <f aca="false">SUBTOTAL(2,A1:B6)</f>
        <v>6</v>
      </c>
    </row>
    <row r="1045" customFormat="false" ht="12.8" hidden="false" customHeight="false" outlineLevel="0" collapsed="false">
      <c r="K1045" s="0" t="s">
        <v>1042</v>
      </c>
      <c r="L1045" s="0" t="n">
        <f aca="false">SUBTOTAL(103,A1:B6)</f>
        <v>12</v>
      </c>
    </row>
    <row r="1046" customFormat="false" ht="12.8" hidden="false" customHeight="false" outlineLevel="0" collapsed="false">
      <c r="K1046" s="0" t="s">
        <v>1043</v>
      </c>
      <c r="L1046" s="0" t="n">
        <f aca="false">SUBTOTAL(4,C1:C6)</f>
        <v>1000000</v>
      </c>
    </row>
    <row r="1047" customFormat="false" ht="12.8" hidden="false" customHeight="false" outlineLevel="0" collapsed="false">
      <c r="K1047" s="0" t="s">
        <v>1044</v>
      </c>
      <c r="L1047" s="0" t="n">
        <f aca="false">SUBTOTAL(105,C1:C6)</f>
        <v>-2</v>
      </c>
    </row>
    <row r="1048" customFormat="false" ht="12.8" hidden="false" customHeight="false" outlineLevel="0" collapsed="false">
      <c r="K1048" s="0" t="s">
        <v>1045</v>
      </c>
      <c r="L1048" s="0" t="n">
        <f aca="false">SUBTOTAL(6,A1:A4)</f>
        <v>24</v>
      </c>
    </row>
    <row r="1049" customFormat="false" ht="12.8" hidden="false" customHeight="false" outlineLevel="0" collapsed="false">
      <c r="K1049" s="0" t="s">
        <v>1046</v>
      </c>
      <c r="L1049" s="0" t="n">
        <f aca="false">SUBTOTAL(7,A1:A6)</f>
        <v>1.87082869338697</v>
      </c>
    </row>
    <row r="1050" customFormat="false" ht="12.8" hidden="false" customHeight="false" outlineLevel="0" collapsed="false">
      <c r="K1050" s="0" t="s">
        <v>1047</v>
      </c>
      <c r="L1050" s="0" t="n">
        <f aca="false">SUBTOTAL(108,A1:A6)</f>
        <v>1.70782512765993</v>
      </c>
    </row>
    <row r="1051" customFormat="false" ht="12.8" hidden="false" customHeight="false" outlineLevel="0" collapsed="false">
      <c r="K1051" s="0" t="s">
        <v>1048</v>
      </c>
      <c r="L1051" s="0" t="n">
        <f aca="false">SUBTOTAL(10,F1:F4)</f>
        <v>16666.6666666667</v>
      </c>
    </row>
    <row r="1052" customFormat="false" ht="12.8" hidden="false" customHeight="false" outlineLevel="0" collapsed="false">
      <c r="K1052" s="0" t="s">
        <v>1049</v>
      </c>
      <c r="L1052" s="0" t="n">
        <f aca="false">SUBTOTAL(111,F1:F4)</f>
        <v>12500</v>
      </c>
    </row>
    <row r="1053" customFormat="false" ht="12.8" hidden="false" customHeight="false" outlineLevel="0" collapsed="false">
      <c r="K1053" s="0" t="s">
        <v>1050</v>
      </c>
      <c r="L1053" s="0" t="e">
        <f aca="false">SUBTOTAL(9,A1:A3,H1)</f>
        <v>#DIV/0!</v>
      </c>
    </row>
    <row r="1054" customFormat="false" ht="12.8" hidden="false" customHeight="false" outlineLevel="0" collapsed="false">
      <c r="K1054" s="0" t="s">
        <v>1051</v>
      </c>
      <c r="L1054" s="0" t="n">
        <f aca="false">SUBTOTAL(9.9,A1:A3)</f>
        <v>6</v>
      </c>
    </row>
    <row r="1055" customFormat="false" ht="12.8" hidden="false" customHeight="false" outlineLevel="0" collapsed="false">
      <c r="K1055" s="0" t="s">
        <v>1052</v>
      </c>
      <c r="L1055" s="0" t="n">
        <f aca="false">SUMXMY2({2,3,9,1,8,7,5},{6,5,11,7,5,4,4})</f>
        <v>79</v>
      </c>
    </row>
    <row r="1056" customFormat="false" ht="12.8" hidden="false" customHeight="false" outlineLevel="0" collapsed="false">
      <c r="K1056" s="0" t="s">
        <v>1053</v>
      </c>
      <c r="L1056" s="0" t="n">
        <f aca="false">SUMXMY2(A1:A3,A4:A6)</f>
        <v>27</v>
      </c>
    </row>
    <row r="1057" customFormat="false" ht="12.8" hidden="false" customHeight="false" outlineLevel="0" collapsed="false">
      <c r="K1057" s="0" t="s">
        <v>1054</v>
      </c>
      <c r="L1057" s="0" t="e">
        <f aca="false">SUMXMY2(A1:A3,A1:A4)</f>
        <v>#VALUE!</v>
      </c>
    </row>
    <row r="1058" customFormat="false" ht="12.8" hidden="false" customHeight="false" outlineLevel="0" collapsed="false">
      <c r="K1058" s="0" t="s">
        <v>1055</v>
      </c>
      <c r="L1058" s="0" t="n">
        <f aca="false">SUMXMY2(F1:F2,A1:A2)</f>
        <v>49005</v>
      </c>
    </row>
    <row r="1059" customFormat="false" ht="12.8" hidden="false" customHeight="false" outlineLevel="0" collapsed="false">
      <c r="K1059" s="0" t="s">
        <v>1056</v>
      </c>
      <c r="L1059" s="0" t="n">
        <f aca="false">COUNTBLANK(D1:D6)</f>
        <v>2</v>
      </c>
    </row>
    <row r="1060" customFormat="false" ht="12.8" hidden="false" customHeight="false" outlineLevel="0" collapsed="false">
      <c r="K1060" s="0" t="s">
        <v>1057</v>
      </c>
      <c r="L1060" s="0" t="n">
        <f aca="false">COUNTBLANK(A1:A6)</f>
        <v>0</v>
      </c>
    </row>
    <row r="1061" customFormat="false" ht="12.8" hidden="false" customHeight="false" outlineLevel="0" collapsed="false">
      <c r="K1061" s="0" t="s">
        <v>1058</v>
      </c>
      <c r="L1061" s="0" t="n">
        <f aca="false">COUNTBLANK(D3:D4)</f>
        <v>2</v>
      </c>
    </row>
    <row r="1062" customFormat="false" ht="12.8" hidden="false" customHeight="false" outlineLevel="0" collapsed="false">
      <c r="K1062" s="0" t="s">
        <v>1059</v>
      </c>
      <c r="L1062" s="0" t="n">
        <f aca="false">COUNTBLANK(J1:J4)</f>
        <v>4</v>
      </c>
    </row>
    <row r="1063" customFormat="false" ht="12.8" hidden="false" customHeight="false" outlineLevel="0" collapsed="false">
      <c r="K1063" s="0" t="s">
        <v>1060</v>
      </c>
      <c r="L1063" s="0" t="n">
        <f aca="false">SUMIFS(A1:A6,B1:B6,"*a*")</f>
        <v>7</v>
      </c>
    </row>
    <row r="1064" customFormat="false" ht="12.8" hidden="false" customHeight="false" outlineLevel="0" collapsed="false">
      <c r="K1064" s="0" t="s">
        <v>1061</v>
      </c>
      <c r="L1064" s="0" t="n">
        <f aca="false">SUMIFS(A1:A6,A1:A6,"&gt;2",A1:A6,"&lt;5")</f>
        <v>7</v>
      </c>
    </row>
    <row r="1065" customFormat="false" ht="12.8" hidden="false" customHeight="false" outlineLevel="0" collapsed="false">
      <c r="K1065" s="0" t="s">
        <v>1062</v>
      </c>
      <c r="L1065" s="0" t="n">
        <f aca="false">SUMIFS(C1:C6,A1:A6,"&gt;=3")</f>
        <v>1000103.25</v>
      </c>
    </row>
    <row r="1066" customFormat="false" ht="12.8" hidden="false" customHeight="false" outlineLevel="0" collapsed="false">
      <c r="K1066" s="0" t="s">
        <v>1063</v>
      </c>
      <c r="L1066" s="0" t="e">
        <f aca="false">SUMIFS(A1:A6,A1:A6,"&gt;2",B1:B3,"x")</f>
        <v>#VALUE!</v>
      </c>
    </row>
    <row r="1067" customFormat="false" ht="12.8" hidden="false" customHeight="false" outlineLevel="0" collapsed="false">
      <c r="K1067" s="0" t="s">
        <v>1064</v>
      </c>
      <c r="L1067" s="0" t="n">
        <f aca="false">SUMIFS(F1:F4,A1:A4,2)</f>
        <v>200</v>
      </c>
    </row>
    <row r="1068" customFormat="false" ht="12.8" hidden="false" customHeight="false" outlineLevel="0" collapsed="false">
      <c r="K1068" s="0" t="s">
        <v>1065</v>
      </c>
      <c r="L1068" s="0" t="n">
        <f aca="false">SUMIFS(A1:A2,H1:H2,"#N/A")</f>
        <v>2</v>
      </c>
    </row>
    <row r="1069" customFormat="false" ht="12.8" hidden="false" customHeight="false" outlineLevel="0" collapsed="false">
      <c r="K1069" s="0" t="s">
        <v>1066</v>
      </c>
      <c r="L1069" s="0" t="n">
        <f aca="false">COUNTIFS(A1:A6,"&gt;2")</f>
        <v>4</v>
      </c>
    </row>
    <row r="1070" customFormat="false" ht="12.8" hidden="false" customHeight="false" outlineLevel="0" collapsed="false">
      <c r="K1070" s="0" t="s">
        <v>1067</v>
      </c>
      <c r="L1070" s="0" t="n">
        <f aca="false">COUNTIFS(A1:A6,"&gt;2",C1:C6,"&lt;50")</f>
        <v>2</v>
      </c>
    </row>
    <row r="1071" customFormat="false" ht="12.8" hidden="false" customHeight="false" outlineLevel="0" collapsed="false">
      <c r="K1071" s="0" t="s">
        <v>1068</v>
      </c>
      <c r="L1071" s="0" t="n">
        <f aca="false">COUNTIFS(B1:B6,"?????")</f>
        <v>1</v>
      </c>
    </row>
    <row r="1072" customFormat="false" ht="12.8" hidden="false" customHeight="false" outlineLevel="0" collapsed="false">
      <c r="K1072" s="0" t="s">
        <v>1069</v>
      </c>
      <c r="L1072" s="0" t="e">
        <f aca="false">COUNTIFS(A1:A6,"&gt;2",B1:B5,"a*")</f>
        <v>#VALUE!</v>
      </c>
    </row>
    <row r="1073" customFormat="false" ht="12.8" hidden="false" customHeight="false" outlineLevel="0" collapsed="false">
      <c r="K1073" s="0" t="s">
        <v>1070</v>
      </c>
      <c r="L1073" s="0" t="n">
        <f aca="false">COUNTIFS(D1:D6,"")</f>
        <v>2</v>
      </c>
    </row>
    <row r="1074" customFormat="false" ht="12.8" hidden="false" customHeight="false" outlineLevel="0" collapsed="false">
      <c r="K1074" s="0" t="s">
        <v>1071</v>
      </c>
      <c r="L1074" s="0" t="n">
        <f aca="false">COUNTIFS(A1:A6,"&lt;&gt;3",A1:A6,"&lt;&gt;4")</f>
        <v>4</v>
      </c>
    </row>
    <row r="1075" customFormat="false" ht="12.8" hidden="false" customHeight="false" outlineLevel="0" collapsed="false">
      <c r="K1075" s="0" t="s">
        <v>1072</v>
      </c>
      <c r="L1075" s="0" t="n">
        <f aca="false">AVERAGEIFS(A1:A6,A1:A6,"&gt;2")</f>
        <v>4.5</v>
      </c>
    </row>
    <row r="1076" customFormat="false" ht="12.8" hidden="false" customHeight="false" outlineLevel="0" collapsed="false">
      <c r="K1076" s="0" t="s">
        <v>1073</v>
      </c>
      <c r="L1076" s="0" t="n">
        <f aca="false">AVERAGEIFS(C1:C6,A1:A6,"&lt;=3")</f>
        <v>2.83333333333333</v>
      </c>
    </row>
    <row r="1077" customFormat="false" ht="12.8" hidden="false" customHeight="false" outlineLevel="0" collapsed="false">
      <c r="K1077" s="0" t="s">
        <v>1074</v>
      </c>
      <c r="L1077" s="0" t="e">
        <f aca="false">AVERAGEIFS(A1:A6,A1:A6,"&gt;10")</f>
        <v>#DIV/0!</v>
      </c>
    </row>
    <row r="1078" customFormat="false" ht="12.8" hidden="false" customHeight="false" outlineLevel="0" collapsed="false">
      <c r="K1078" s="0" t="s">
        <v>1075</v>
      </c>
      <c r="L1078" s="0" t="n">
        <f aca="false">AVERAGEIFS(A1:A6,B1:B6,"*e*")</f>
        <v>3.25</v>
      </c>
    </row>
    <row r="1079" customFormat="false" ht="12.8" hidden="false" customHeight="false" outlineLevel="0" collapsed="false">
      <c r="K1079" s="0" t="s">
        <v>1076</v>
      </c>
      <c r="L1079" s="0" t="n">
        <f aca="false">AVERAGEIF(A1:A6,"&gt;3")</f>
        <v>5</v>
      </c>
    </row>
    <row r="1080" customFormat="false" ht="12.8" hidden="false" customHeight="false" outlineLevel="0" collapsed="false">
      <c r="K1080" s="0" t="s">
        <v>1077</v>
      </c>
      <c r="L1080" s="0" t="n">
        <f aca="false">AVERAGEIF(B1:B6,"*e*",A1:A6)</f>
        <v>3.25</v>
      </c>
    </row>
    <row r="1081" customFormat="false" ht="12.8" hidden="false" customHeight="false" outlineLevel="0" collapsed="false">
      <c r="K1081" s="0" t="s">
        <v>1078</v>
      </c>
      <c r="L1081" s="0" t="e">
        <f aca="false">AVERAGEIF(A1:A6,"&gt;10")</f>
        <v>#DIV/0!</v>
      </c>
    </row>
    <row r="1082" customFormat="false" ht="12.8" hidden="false" customHeight="false" outlineLevel="0" collapsed="false">
      <c r="K1082" s="0" t="s">
        <v>1079</v>
      </c>
      <c r="L1082" s="0" t="n">
        <f aca="false">AVERAGEIF(C1:C6,"&lt;&gt;0")</f>
        <v>200022.35</v>
      </c>
    </row>
    <row r="1083" customFormat="false" ht="12.8" hidden="false" customHeight="false" outlineLevel="0" collapsed="false">
      <c r="K1083" s="0" t="s">
        <v>1080</v>
      </c>
      <c r="L1083" s="0" t="n">
        <f aca="false">AVERAGEIF(F1:F4,"&gt;=200")</f>
        <v>300</v>
      </c>
    </row>
    <row r="1084" customFormat="false" ht="12.8" hidden="false" customHeight="false" outlineLevel="0" collapsed="false">
      <c r="K1084" s="0" t="s">
        <v>1081</v>
      </c>
      <c r="L1084" s="0" t="n">
        <f aca="false">_xlfn.MAXIFS(C1:C6,A1:A6,"&lt;=4")</f>
        <v>100</v>
      </c>
    </row>
    <row r="1085" customFormat="false" ht="12.8" hidden="false" customHeight="false" outlineLevel="0" collapsed="false">
      <c r="K1085" s="0" t="s">
        <v>1082</v>
      </c>
      <c r="L1085" s="0" t="n">
        <f aca="false">_xlfn.MAXIFS(A1:A6,B1:B6,"*e*")</f>
        <v>5</v>
      </c>
    </row>
    <row r="1086" customFormat="false" ht="12.8" hidden="false" customHeight="false" outlineLevel="0" collapsed="false">
      <c r="K1086" s="0" t="s">
        <v>1083</v>
      </c>
      <c r="L1086" s="0" t="n">
        <f aca="false">_xlfn.MAXIFS(A1:A6,A1:A6,"&gt;10")</f>
        <v>0</v>
      </c>
    </row>
    <row r="1087" customFormat="false" ht="12.8" hidden="false" customHeight="false" outlineLevel="0" collapsed="false">
      <c r="K1087" s="0" t="s">
        <v>1084</v>
      </c>
      <c r="L1087" s="0" t="n">
        <f aca="false">_xlfn.MAXIFS(C1:C6,A1:A6,"&gt;=2",A1:A6,"&lt;=3")</f>
        <v>0</v>
      </c>
    </row>
    <row r="1088" customFormat="false" ht="12.8" hidden="false" customHeight="false" outlineLevel="0" collapsed="false">
      <c r="K1088" s="0" t="s">
        <v>1085</v>
      </c>
      <c r="L1088" s="0" t="n">
        <f aca="false">_xlfn.MINIFS(C1:C6,A1:A6,"&lt;=4")</f>
        <v>-2</v>
      </c>
    </row>
    <row r="1089" customFormat="false" ht="12.8" hidden="false" customHeight="false" outlineLevel="0" collapsed="false">
      <c r="K1089" s="0" t="s">
        <v>1086</v>
      </c>
      <c r="L1089" s="0" t="n">
        <f aca="false">_xlfn.MINIFS(A1:A6,B1:B6,"*e*")</f>
        <v>1</v>
      </c>
    </row>
    <row r="1090" customFormat="false" ht="12.8" hidden="false" customHeight="false" outlineLevel="0" collapsed="false">
      <c r="K1090" s="0" t="s">
        <v>1087</v>
      </c>
      <c r="L1090" s="0" t="n">
        <f aca="false">_xlfn.MINIFS(A1:A6,A1:A6,"&gt;10")</f>
        <v>0</v>
      </c>
    </row>
    <row r="1091" customFormat="false" ht="12.8" hidden="false" customHeight="false" outlineLevel="0" collapsed="false">
      <c r="K1091" s="0" t="s">
        <v>1088</v>
      </c>
      <c r="L1091" s="0" t="n">
        <f aca="false">_xlfn.MINIFS(C1:C6,A1:A6,"&gt;=3")</f>
        <v>0</v>
      </c>
    </row>
    <row r="1092" customFormat="false" ht="12.8" hidden="false" customHeight="false" outlineLevel="0" collapsed="false">
      <c r="K1092" s="0" t="s">
        <v>1089</v>
      </c>
      <c r="L1092" s="0" t="n">
        <f aca="false">MEDIAN(A1:A6)</f>
        <v>3.5</v>
      </c>
    </row>
    <row r="1093" customFormat="false" ht="12.8" hidden="false" customHeight="false" outlineLevel="0" collapsed="false">
      <c r="K1093" s="0" t="s">
        <v>1090</v>
      </c>
      <c r="L1093" s="0" t="n">
        <f aca="false">MEDIAN(1,2,3)</f>
        <v>2</v>
      </c>
    </row>
    <row r="1094" customFormat="false" ht="12.8" hidden="false" customHeight="false" outlineLevel="0" collapsed="false">
      <c r="K1094" s="0" t="s">
        <v>1091</v>
      </c>
      <c r="L1094" s="0" t="n">
        <f aca="false">MEDIAN(C1:C6)</f>
        <v>6.875</v>
      </c>
    </row>
    <row r="1095" customFormat="false" ht="12.8" hidden="false" customHeight="false" outlineLevel="0" collapsed="false">
      <c r="K1095" s="0" t="s">
        <v>1092</v>
      </c>
      <c r="L1095" s="0" t="e">
        <f aca="false">MEDIAN(B1:B3)</f>
        <v>#VALUE!</v>
      </c>
    </row>
    <row r="1096" customFormat="false" ht="12.8" hidden="false" customHeight="false" outlineLevel="0" collapsed="false">
      <c r="K1096" s="0" t="s">
        <v>1093</v>
      </c>
      <c r="L1096" s="0" t="e">
        <f aca="false">MEDIAN(A1:A2,H1)</f>
        <v>#DIV/0!</v>
      </c>
    </row>
    <row r="1097" customFormat="false" ht="12.8" hidden="false" customHeight="false" outlineLevel="0" collapsed="false">
      <c r="K1097" s="0" t="s">
        <v>1094</v>
      </c>
      <c r="L1097" s="0" t="n">
        <f aca="false">MEDIAN(A1:A5)</f>
        <v>3</v>
      </c>
    </row>
    <row r="1098" customFormat="false" ht="12.8" hidden="false" customHeight="false" outlineLevel="0" collapsed="false">
      <c r="K1098" s="0" t="s">
        <v>1095</v>
      </c>
      <c r="L1098" s="0" t="n">
        <f aca="false">MODE(1,2,2,3,3,3)</f>
        <v>3</v>
      </c>
    </row>
    <row r="1099" customFormat="false" ht="12.8" hidden="false" customHeight="false" outlineLevel="0" collapsed="false">
      <c r="K1099" s="0" t="s">
        <v>1096</v>
      </c>
      <c r="L1099" s="0" t="e">
        <f aca="false">MODE(A1:A6)</f>
        <v>#VALUE!</v>
      </c>
    </row>
    <row r="1100" customFormat="false" ht="12.8" hidden="false" customHeight="false" outlineLevel="0" collapsed="false">
      <c r="K1100" s="0" t="s">
        <v>1097</v>
      </c>
      <c r="L1100" s="0" t="n">
        <f aca="false">MODE(2,2,3,3)</f>
        <v>2</v>
      </c>
    </row>
    <row r="1101" customFormat="false" ht="12.8" hidden="false" customHeight="false" outlineLevel="0" collapsed="false">
      <c r="K1101" s="0" t="s">
        <v>1098</v>
      </c>
      <c r="L1101" s="0" t="n">
        <f aca="false">MODE({1,2,2,3})</f>
        <v>2</v>
      </c>
    </row>
    <row r="1102" customFormat="false" ht="12.8" hidden="false" customHeight="false" outlineLevel="0" collapsed="false">
      <c r="K1102" s="0" t="s">
        <v>1099</v>
      </c>
      <c r="L1102" s="0" t="n">
        <f aca="false">_xlfn.MODE.SNGL(1,2,2,3,3,3)</f>
        <v>3</v>
      </c>
    </row>
    <row r="1103" customFormat="false" ht="12.8" hidden="false" customHeight="false" outlineLevel="0" collapsed="false">
      <c r="K1103" s="0" t="s">
        <v>1100</v>
      </c>
      <c r="L1103" s="0" t="e">
        <f aca="false">_xlfn.MODE.SNGL(A1:A6)</f>
        <v>#VALUE!</v>
      </c>
    </row>
    <row r="1104" customFormat="false" ht="12.8" hidden="false" customHeight="false" outlineLevel="0" collapsed="false">
      <c r="K1104" s="0" t="s">
        <v>1101</v>
      </c>
      <c r="L1104" s="0" t="n">
        <f aca="false">_xlfn.MODE.SNGL(2,2,3,3)</f>
        <v>2</v>
      </c>
    </row>
    <row r="1105" customFormat="false" ht="12.8" hidden="false" customHeight="false" outlineLevel="0" collapsed="false">
      <c r="K1105" s="0" t="s">
        <v>1102</v>
      </c>
      <c r="L1105" s="0" t="n">
        <f aca="false">_xlfn.MODE.SNGL(B1:B3,5,5)</f>
        <v>5</v>
      </c>
    </row>
    <row r="1106" customFormat="false" ht="12.8" hidden="false" customHeight="false" outlineLevel="0" collapsed="false">
      <c r="K1106" s="0" t="s">
        <v>1103</v>
      </c>
      <c r="L1106" s="0" t="n">
        <f aca="false">VAR(A1:A6)</f>
        <v>3.5</v>
      </c>
    </row>
    <row r="1107" customFormat="false" ht="12.8" hidden="false" customHeight="false" outlineLevel="0" collapsed="false">
      <c r="K1107" s="0" t="s">
        <v>1104</v>
      </c>
      <c r="L1107" s="0" t="e">
        <f aca="false">VAR(5)</f>
        <v>#DIV/0!</v>
      </c>
    </row>
    <row r="1108" customFormat="false" ht="12.8" hidden="false" customHeight="false" outlineLevel="0" collapsed="false">
      <c r="K1108" s="0" t="s">
        <v>1105</v>
      </c>
      <c r="L1108" s="0" t="n">
        <f aca="false">VAR(1,2)</f>
        <v>0.5</v>
      </c>
    </row>
    <row r="1109" customFormat="false" ht="12.8" hidden="false" customHeight="false" outlineLevel="0" collapsed="false">
      <c r="K1109" s="0" t="s">
        <v>1106</v>
      </c>
      <c r="L1109" s="0" t="e">
        <f aca="false">VAR(B1:B3)</f>
        <v>#DIV/0!</v>
      </c>
    </row>
    <row r="1110" customFormat="false" ht="12.8" hidden="false" customHeight="false" outlineLevel="0" collapsed="false">
      <c r="K1110" s="0" t="s">
        <v>1107</v>
      </c>
      <c r="L1110" s="0" t="n">
        <f aca="false">_xlfn.VAR.S(A1:A6)</f>
        <v>3.5</v>
      </c>
    </row>
    <row r="1111" customFormat="false" ht="12.8" hidden="false" customHeight="false" outlineLevel="0" collapsed="false">
      <c r="K1111" s="0" t="s">
        <v>1108</v>
      </c>
      <c r="L1111" s="0" t="n">
        <f aca="false">_xlfn.VAR.S(C1:C4)</f>
        <v>2390.39583333333</v>
      </c>
    </row>
    <row r="1112" customFormat="false" ht="12.8" hidden="false" customHeight="false" outlineLevel="0" collapsed="false">
      <c r="K1112" s="0" t="s">
        <v>1109</v>
      </c>
      <c r="L1112" s="0" t="e">
        <f aca="false">_xlfn.VAR.S(A1,H1)</f>
        <v>#DIV/0!</v>
      </c>
    </row>
    <row r="1113" customFormat="false" ht="12.8" hidden="false" customHeight="false" outlineLevel="0" collapsed="false">
      <c r="K1113" s="0" t="s">
        <v>1110</v>
      </c>
      <c r="L1113" s="0" t="e">
        <f aca="false">_xlfn.VAR.S(A1)</f>
        <v>#DIV/0!</v>
      </c>
    </row>
    <row r="1114" customFormat="false" ht="12.8" hidden="false" customHeight="false" outlineLevel="0" collapsed="false">
      <c r="K1114" s="0" t="s">
        <v>1111</v>
      </c>
      <c r="L1114" s="0" t="n">
        <f aca="false">_xlfn.VAR.P(A1:A6)</f>
        <v>2.91666666666667</v>
      </c>
    </row>
    <row r="1115" customFormat="false" ht="12.8" hidden="false" customHeight="false" outlineLevel="0" collapsed="false">
      <c r="K1115" s="0" t="s">
        <v>1112</v>
      </c>
      <c r="L1115" s="0" t="n">
        <f aca="false">_xlfn.VAR.P(5)</f>
        <v>0</v>
      </c>
    </row>
    <row r="1116" customFormat="false" ht="12.8" hidden="false" customHeight="false" outlineLevel="0" collapsed="false">
      <c r="K1116" s="0" t="s">
        <v>1113</v>
      </c>
      <c r="L1116" s="0" t="n">
        <f aca="false">_xlfn.VAR.P(C1:C4)</f>
        <v>1792.796875</v>
      </c>
    </row>
    <row r="1117" customFormat="false" ht="12.8" hidden="false" customHeight="false" outlineLevel="0" collapsed="false">
      <c r="K1117" s="0" t="s">
        <v>1114</v>
      </c>
      <c r="L1117" s="0" t="e">
        <f aca="false">_xlfn.VAR.P(B1:B3)</f>
        <v>#DIV/0!</v>
      </c>
    </row>
    <row r="1118" customFormat="false" ht="12.8" hidden="false" customHeight="false" outlineLevel="0" collapsed="false">
      <c r="K1118" s="0" t="s">
        <v>1115</v>
      </c>
      <c r="L1118" s="0" t="n">
        <f aca="false">VARP(A1:A6)</f>
        <v>2.91666666666667</v>
      </c>
    </row>
    <row r="1119" customFormat="false" ht="12.8" hidden="false" customHeight="false" outlineLevel="0" collapsed="false">
      <c r="K1119" s="0" t="s">
        <v>1116</v>
      </c>
      <c r="L1119" s="0" t="n">
        <f aca="false">VARP(5)</f>
        <v>0</v>
      </c>
    </row>
    <row r="1120" customFormat="false" ht="12.8" hidden="false" customHeight="false" outlineLevel="0" collapsed="false">
      <c r="K1120" s="0" t="s">
        <v>1117</v>
      </c>
      <c r="L1120" s="0" t="n">
        <f aca="false">VARP(1,2,3,4)</f>
        <v>1.25</v>
      </c>
    </row>
    <row r="1121" customFormat="false" ht="12.8" hidden="false" customHeight="false" outlineLevel="0" collapsed="false">
      <c r="K1121" s="0" t="s">
        <v>1118</v>
      </c>
      <c r="L1121" s="0" t="e">
        <f aca="false">VARP(B1:B3)</f>
        <v>#DIV/0!</v>
      </c>
    </row>
    <row r="1122" customFormat="false" ht="12.8" hidden="false" customHeight="false" outlineLevel="0" collapsed="false">
      <c r="K1122" s="0" t="s">
        <v>1119</v>
      </c>
      <c r="L1122" s="0" t="n">
        <f aca="false">STDEV(A1:A6)</f>
        <v>1.87082869338697</v>
      </c>
    </row>
    <row r="1123" customFormat="false" ht="12.8" hidden="false" customHeight="false" outlineLevel="0" collapsed="false">
      <c r="K1123" s="0" t="s">
        <v>1120</v>
      </c>
      <c r="L1123" s="0" t="e">
        <f aca="false">STDEV(5)</f>
        <v>#DIV/0!</v>
      </c>
    </row>
    <row r="1124" customFormat="false" ht="12.8" hidden="false" customHeight="false" outlineLevel="0" collapsed="false">
      <c r="K1124" s="0" t="s">
        <v>1121</v>
      </c>
      <c r="L1124" s="0" t="n">
        <f aca="false">STDEV(1,2)</f>
        <v>0.707106781186548</v>
      </c>
    </row>
    <row r="1125" customFormat="false" ht="12.8" hidden="false" customHeight="false" outlineLevel="0" collapsed="false">
      <c r="K1125" s="0" t="s">
        <v>1122</v>
      </c>
      <c r="L1125" s="0" t="e">
        <f aca="false">STDEV(B1:B3)</f>
        <v>#DIV/0!</v>
      </c>
    </row>
    <row r="1126" customFormat="false" ht="12.8" hidden="false" customHeight="false" outlineLevel="0" collapsed="false">
      <c r="K1126" s="0" t="s">
        <v>1123</v>
      </c>
      <c r="L1126" s="0" t="n">
        <f aca="false">_xlfn.STDEV.S(A1:A6)</f>
        <v>1.87082869338697</v>
      </c>
    </row>
    <row r="1127" customFormat="false" ht="12.8" hidden="false" customHeight="false" outlineLevel="0" collapsed="false">
      <c r="K1127" s="0" t="s">
        <v>1124</v>
      </c>
      <c r="L1127" s="0" t="n">
        <f aca="false">_xlfn.STDEV.S(C1:C4)</f>
        <v>48.8916744787222</v>
      </c>
    </row>
    <row r="1128" customFormat="false" ht="12.8" hidden="false" customHeight="false" outlineLevel="0" collapsed="false">
      <c r="K1128" s="0" t="s">
        <v>1125</v>
      </c>
      <c r="L1128" s="0" t="e">
        <f aca="false">_xlfn.STDEV.S(1)</f>
        <v>#DIV/0!</v>
      </c>
    </row>
    <row r="1129" customFormat="false" ht="12.8" hidden="false" customHeight="false" outlineLevel="0" collapsed="false">
      <c r="K1129" s="0" t="s">
        <v>1126</v>
      </c>
      <c r="L1129" s="0" t="e">
        <f aca="false">_xlfn.STDEV.S(A1,H1)</f>
        <v>#DIV/0!</v>
      </c>
    </row>
    <row r="1130" customFormat="false" ht="12.8" hidden="false" customHeight="false" outlineLevel="0" collapsed="false">
      <c r="K1130" s="0" t="s">
        <v>1127</v>
      </c>
      <c r="L1130" s="0" t="n">
        <f aca="false">_xlfn.STDEV.P(A1:A6)</f>
        <v>1.70782512765993</v>
      </c>
    </row>
    <row r="1131" customFormat="false" ht="12.8" hidden="false" customHeight="false" outlineLevel="0" collapsed="false">
      <c r="K1131" s="0" t="s">
        <v>1128</v>
      </c>
      <c r="L1131" s="0" t="n">
        <f aca="false">_xlfn.STDEV.P(5)</f>
        <v>0</v>
      </c>
    </row>
    <row r="1132" customFormat="false" ht="12.8" hidden="false" customHeight="false" outlineLevel="0" collapsed="false">
      <c r="K1132" s="0" t="s">
        <v>1129</v>
      </c>
      <c r="L1132" s="0" t="n">
        <f aca="false">_xlfn.STDEV.P(C1:C4)</f>
        <v>42.3414321321327</v>
      </c>
    </row>
    <row r="1133" customFormat="false" ht="12.8" hidden="false" customHeight="false" outlineLevel="0" collapsed="false">
      <c r="K1133" s="0" t="s">
        <v>1130</v>
      </c>
      <c r="L1133" s="0" t="e">
        <f aca="false">_xlfn.STDEV.P(B1:B3)</f>
        <v>#DIV/0!</v>
      </c>
    </row>
    <row r="1134" customFormat="false" ht="12.8" hidden="false" customHeight="false" outlineLevel="0" collapsed="false">
      <c r="K1134" s="0" t="s">
        <v>1131</v>
      </c>
      <c r="L1134" s="0" t="n">
        <f aca="false">STDEVP(A1:A6)</f>
        <v>1.70782512765993</v>
      </c>
    </row>
    <row r="1135" customFormat="false" ht="12.8" hidden="false" customHeight="false" outlineLevel="0" collapsed="false">
      <c r="K1135" s="0" t="s">
        <v>1132</v>
      </c>
      <c r="L1135" s="0" t="n">
        <f aca="false">STDEVP(5)</f>
        <v>0</v>
      </c>
    </row>
    <row r="1136" customFormat="false" ht="12.8" hidden="false" customHeight="false" outlineLevel="0" collapsed="false">
      <c r="K1136" s="0" t="s">
        <v>1133</v>
      </c>
      <c r="L1136" s="0" t="n">
        <f aca="false">STDEVP(1,2,3,4)</f>
        <v>1.1180339887499</v>
      </c>
    </row>
    <row r="1137" customFormat="false" ht="12.8" hidden="false" customHeight="false" outlineLevel="0" collapsed="false">
      <c r="K1137" s="0" t="s">
        <v>1134</v>
      </c>
      <c r="L1137" s="0" t="e">
        <f aca="false">STDEVP(B1:B3)</f>
        <v>#DIV/0!</v>
      </c>
    </row>
    <row r="1138" customFormat="false" ht="12.8" hidden="false" customHeight="false" outlineLevel="0" collapsed="false">
      <c r="K1138" s="0" t="s">
        <v>1135</v>
      </c>
      <c r="L1138" s="0" t="n">
        <f aca="false">LARGE(A1:A6,2)</f>
        <v>5</v>
      </c>
    </row>
    <row r="1139" customFormat="false" ht="12.8" hidden="false" customHeight="false" outlineLevel="0" collapsed="false">
      <c r="K1139" s="0" t="s">
        <v>1136</v>
      </c>
      <c r="L1139" s="0" t="e">
        <f aca="false">LARGE(A1:A6,7)</f>
        <v>#VALUE!</v>
      </c>
    </row>
    <row r="1140" customFormat="false" ht="12.8" hidden="false" customHeight="false" outlineLevel="0" collapsed="false">
      <c r="K1140" s="0" t="s">
        <v>1137</v>
      </c>
      <c r="L1140" s="0" t="n">
        <f aca="false">LARGE(C1:C6,1)</f>
        <v>1000000</v>
      </c>
    </row>
    <row r="1141" customFormat="false" ht="12.8" hidden="false" customHeight="false" outlineLevel="0" collapsed="false">
      <c r="K1141" s="0" t="s">
        <v>1138</v>
      </c>
      <c r="L1141" s="0" t="e">
        <f aca="false">LARGE(A1:A6,0)</f>
        <v>#VALUE!</v>
      </c>
    </row>
    <row r="1142" customFormat="false" ht="12.8" hidden="false" customHeight="false" outlineLevel="0" collapsed="false">
      <c r="K1142" s="0" t="s">
        <v>1139</v>
      </c>
      <c r="L1142" s="0" t="n">
        <f aca="false">LARGE(A1:A6,1.5)</f>
        <v>5</v>
      </c>
    </row>
    <row r="1143" customFormat="false" ht="12.8" hidden="false" customHeight="false" outlineLevel="0" collapsed="false">
      <c r="K1143" s="0" t="s">
        <v>1140</v>
      </c>
      <c r="L1143" s="0" t="n">
        <f aca="false">SMALL(A1:A6,1)</f>
        <v>1</v>
      </c>
    </row>
    <row r="1144" customFormat="false" ht="12.8" hidden="false" customHeight="false" outlineLevel="0" collapsed="false">
      <c r="K1144" s="0" t="s">
        <v>1141</v>
      </c>
      <c r="L1144" s="0" t="n">
        <f aca="false">SMALL(C1:C6,2)</f>
        <v>0</v>
      </c>
    </row>
    <row r="1145" customFormat="false" ht="12.8" hidden="false" customHeight="false" outlineLevel="0" collapsed="false">
      <c r="K1145" s="0" t="s">
        <v>1142</v>
      </c>
      <c r="L1145" s="0" t="e">
        <f aca="false">SMALL(B1:B6,1)</f>
        <v>#VALUE!</v>
      </c>
    </row>
    <row r="1146" customFormat="false" ht="12.8" hidden="false" customHeight="false" outlineLevel="0" collapsed="false">
      <c r="K1146" s="0" t="s">
        <v>1143</v>
      </c>
      <c r="L1146" s="0" t="n">
        <f aca="false">SMALL(A1:A6,6)</f>
        <v>6</v>
      </c>
    </row>
    <row r="1147" customFormat="false" ht="12.8" hidden="false" customHeight="false" outlineLevel="0" collapsed="false">
      <c r="K1147" s="0" t="s">
        <v>1144</v>
      </c>
      <c r="L1147" s="0" t="n">
        <f aca="false">RANK(3,A1:A6)</f>
        <v>4</v>
      </c>
    </row>
    <row r="1148" customFormat="false" ht="12.8" hidden="false" customHeight="false" outlineLevel="0" collapsed="false">
      <c r="K1148" s="0" t="s">
        <v>1145</v>
      </c>
      <c r="L1148" s="0" t="n">
        <f aca="false">RANK(3,A1:A6,1)</f>
        <v>3</v>
      </c>
    </row>
    <row r="1149" customFormat="false" ht="12.8" hidden="false" customHeight="false" outlineLevel="0" collapsed="false">
      <c r="K1149" s="0" t="s">
        <v>1146</v>
      </c>
      <c r="L1149" s="0" t="e">
        <f aca="false">RANK(9,A1:A6)</f>
        <v>#N/A</v>
      </c>
    </row>
    <row r="1150" customFormat="false" ht="12.8" hidden="false" customHeight="false" outlineLevel="0" collapsed="false">
      <c r="K1150" s="0" t="s">
        <v>1147</v>
      </c>
      <c r="L1150" s="0" t="n">
        <f aca="false">RANK(100,C1:C6)</f>
        <v>2</v>
      </c>
    </row>
    <row r="1151" customFormat="false" ht="12.8" hidden="false" customHeight="false" outlineLevel="0" collapsed="false">
      <c r="K1151" s="0" t="s">
        <v>1148</v>
      </c>
      <c r="L1151" s="0" t="n">
        <f aca="false">_xlfn.RANK.EQ(100,C1:C6)</f>
        <v>2</v>
      </c>
    </row>
    <row r="1152" customFormat="false" ht="12.8" hidden="false" customHeight="false" outlineLevel="0" collapsed="false">
      <c r="K1152" s="0" t="s">
        <v>1149</v>
      </c>
      <c r="L1152" s="0" t="n">
        <f aca="false">_xlfn.RANK.EQ(1,A1:A6,1)</f>
        <v>1</v>
      </c>
    </row>
    <row r="1153" customFormat="false" ht="12.8" hidden="false" customHeight="false" outlineLevel="0" collapsed="false">
      <c r="K1153" s="0" t="s">
        <v>1150</v>
      </c>
      <c r="L1153" s="0" t="e">
        <f aca="false">_xlfn.RANK.EQ(9,A1:A6)</f>
        <v>#N/A</v>
      </c>
    </row>
    <row r="1154" customFormat="false" ht="12.8" hidden="false" customHeight="false" outlineLevel="0" collapsed="false">
      <c r="K1154" s="0" t="s">
        <v>1151</v>
      </c>
      <c r="L1154" s="0" t="n">
        <f aca="false">_xlfn.RANK.EQ(0,C1:C6,1)</f>
        <v>2</v>
      </c>
    </row>
    <row r="1155" customFormat="false" ht="12.8" hidden="false" customHeight="false" outlineLevel="0" collapsed="false">
      <c r="K1155" s="0" t="s">
        <v>1152</v>
      </c>
      <c r="L1155" s="0" t="n">
        <f aca="false">_xlfn.RANK.AVG(3,A1:A6)</f>
        <v>4</v>
      </c>
    </row>
    <row r="1156" customFormat="false" ht="12.8" hidden="false" customHeight="false" outlineLevel="0" collapsed="false">
      <c r="K1156" s="0" t="s">
        <v>1153</v>
      </c>
      <c r="L1156" s="0" t="n">
        <f aca="false">_xlfn.RANK.AVG(1,A1:A6,1)</f>
        <v>1</v>
      </c>
    </row>
    <row r="1157" customFormat="false" ht="12.8" hidden="false" customHeight="false" outlineLevel="0" collapsed="false">
      <c r="K1157" s="0" t="s">
        <v>1154</v>
      </c>
      <c r="L1157" s="0" t="e">
        <f aca="false">_xlfn.RANK.AVG(9,A1:A6)</f>
        <v>#N/A</v>
      </c>
    </row>
    <row r="1158" customFormat="false" ht="12.8" hidden="false" customHeight="false" outlineLevel="0" collapsed="false">
      <c r="K1158" s="0" t="s">
        <v>1155</v>
      </c>
      <c r="L1158" s="0" t="n">
        <f aca="false">_xlfn.RANK.AVG(100,C1:C6)</f>
        <v>2</v>
      </c>
    </row>
    <row r="1159" customFormat="false" ht="12.8" hidden="false" customHeight="false" outlineLevel="0" collapsed="false">
      <c r="K1159" s="0" t="s">
        <v>1156</v>
      </c>
      <c r="L1159" s="0" t="n">
        <f aca="false">PERCENTILE(A1:A6,0.5)</f>
        <v>3.5</v>
      </c>
    </row>
    <row r="1160" customFormat="false" ht="12.8" hidden="false" customHeight="false" outlineLevel="0" collapsed="false">
      <c r="K1160" s="0" t="s">
        <v>1157</v>
      </c>
      <c r="L1160" s="0" t="n">
        <f aca="false">PERCENTILE(A1:A6,0.25)</f>
        <v>2.25</v>
      </c>
    </row>
    <row r="1161" customFormat="false" ht="12.8" hidden="false" customHeight="false" outlineLevel="0" collapsed="false">
      <c r="K1161" s="0" t="s">
        <v>1158</v>
      </c>
      <c r="L1161" s="0" t="n">
        <f aca="false">PERCENTILE(A1:A6,0)</f>
        <v>1</v>
      </c>
    </row>
    <row r="1162" customFormat="false" ht="12.8" hidden="false" customHeight="false" outlineLevel="0" collapsed="false">
      <c r="K1162" s="0" t="s">
        <v>1159</v>
      </c>
      <c r="L1162" s="0" t="e">
        <f aca="false">PERCENTILE(A1:A6,1.5)</f>
        <v>#VALUE!</v>
      </c>
    </row>
    <row r="1163" customFormat="false" ht="12.8" hidden="false" customHeight="false" outlineLevel="0" collapsed="false">
      <c r="K1163" s="0" t="s">
        <v>1160</v>
      </c>
      <c r="L1163" s="0" t="n">
        <f aca="false">_xlfn.PERCENTILE.INC(A1:A6,0.9)</f>
        <v>5.5</v>
      </c>
    </row>
    <row r="1164" customFormat="false" ht="12.8" hidden="false" customHeight="false" outlineLevel="0" collapsed="false">
      <c r="K1164" s="0" t="s">
        <v>1161</v>
      </c>
      <c r="L1164" s="0" t="n">
        <f aca="false">_xlfn.PERCENTILE.INC(C1:C6,0.5)</f>
        <v>6.875</v>
      </c>
    </row>
    <row r="1165" customFormat="false" ht="12.8" hidden="false" customHeight="false" outlineLevel="0" collapsed="false">
      <c r="K1165" s="0" t="s">
        <v>1162</v>
      </c>
      <c r="L1165" s="0" t="n">
        <f aca="false">_xlfn.PERCENTILE.INC(A1:A6,1)</f>
        <v>6</v>
      </c>
    </row>
    <row r="1166" customFormat="false" ht="12.8" hidden="false" customHeight="false" outlineLevel="0" collapsed="false">
      <c r="K1166" s="0" t="s">
        <v>1163</v>
      </c>
      <c r="L1166" s="0" t="e">
        <f aca="false">_xlfn.PERCENTILE.INC(B1:B3,0.5)</f>
        <v>#VALUE!</v>
      </c>
    </row>
    <row r="1167" customFormat="false" ht="12.8" hidden="false" customHeight="false" outlineLevel="0" collapsed="false">
      <c r="K1167" s="0" t="s">
        <v>1164</v>
      </c>
      <c r="L1167" s="0" t="n">
        <f aca="false">_xlfn.PERCENTILE.EXC(A1:A6,0.5)</f>
        <v>3.5</v>
      </c>
    </row>
    <row r="1168" customFormat="false" ht="12.8" hidden="false" customHeight="false" outlineLevel="0" collapsed="false">
      <c r="K1168" s="0" t="s">
        <v>1165</v>
      </c>
      <c r="L1168" s="0" t="n">
        <f aca="false">_xlfn.PERCENTILE.EXC(A1:A6,0.25)</f>
        <v>1.75</v>
      </c>
    </row>
    <row r="1169" customFormat="false" ht="12.8" hidden="false" customHeight="false" outlineLevel="0" collapsed="false">
      <c r="K1169" s="0" t="s">
        <v>1166</v>
      </c>
      <c r="L1169" s="0" t="e">
        <f aca="false">_xlfn.PERCENTILE.EXC(A1:A6,0.1)</f>
        <v>#VALUE!</v>
      </c>
    </row>
    <row r="1170" customFormat="false" ht="12.8" hidden="false" customHeight="false" outlineLevel="0" collapsed="false">
      <c r="K1170" s="0" t="s">
        <v>1167</v>
      </c>
      <c r="L1170" s="0" t="n">
        <f aca="false">_xlfn.PERCENTILE.EXC(A1:A6,0.8)</f>
        <v>5.6</v>
      </c>
    </row>
    <row r="1171" customFormat="false" ht="12.8" hidden="false" customHeight="false" outlineLevel="0" collapsed="false">
      <c r="K1171" s="0" t="s">
        <v>1168</v>
      </c>
      <c r="L1171" s="0" t="n">
        <f aca="false">QUARTILE(A1:A6,1)</f>
        <v>2.25</v>
      </c>
    </row>
    <row r="1172" customFormat="false" ht="12.8" hidden="false" customHeight="false" outlineLevel="0" collapsed="false">
      <c r="K1172" s="0" t="s">
        <v>1169</v>
      </c>
      <c r="L1172" s="0" t="n">
        <f aca="false">QUARTILE(A1:A6,3)</f>
        <v>4.75</v>
      </c>
    </row>
    <row r="1173" customFormat="false" ht="12.8" hidden="false" customHeight="false" outlineLevel="0" collapsed="false">
      <c r="K1173" s="0" t="s">
        <v>1170</v>
      </c>
      <c r="L1173" s="0" t="n">
        <f aca="false">QUARTILE(A1:A6,0)</f>
        <v>1</v>
      </c>
    </row>
    <row r="1174" customFormat="false" ht="12.8" hidden="false" customHeight="false" outlineLevel="0" collapsed="false">
      <c r="K1174" s="0" t="s">
        <v>1171</v>
      </c>
      <c r="L1174" s="0" t="e">
        <f aca="false">QUARTILE(A1:A6,5)</f>
        <v>#VALUE!</v>
      </c>
    </row>
    <row r="1175" customFormat="false" ht="12.8" hidden="false" customHeight="false" outlineLevel="0" collapsed="false">
      <c r="K1175" s="0" t="s">
        <v>1172</v>
      </c>
      <c r="L1175" s="0" t="n">
        <f aca="false">_xlfn.QUARTILE.INC(A1:A6,2)</f>
        <v>3.5</v>
      </c>
    </row>
    <row r="1176" customFormat="false" ht="12.8" hidden="false" customHeight="false" outlineLevel="0" collapsed="false">
      <c r="K1176" s="0" t="s">
        <v>1173</v>
      </c>
      <c r="L1176" s="0" t="n">
        <f aca="false">_xlfn.QUARTILE.INC(C1:C6,1)</f>
        <v>0.8125</v>
      </c>
    </row>
    <row r="1177" customFormat="false" ht="12.8" hidden="false" customHeight="false" outlineLevel="0" collapsed="false">
      <c r="K1177" s="0" t="s">
        <v>1174</v>
      </c>
      <c r="L1177" s="0" t="n">
        <f aca="false">_xlfn.QUARTILE.INC(A1:A6,4)</f>
        <v>6</v>
      </c>
    </row>
    <row r="1178" customFormat="false" ht="12.8" hidden="false" customHeight="false" outlineLevel="0" collapsed="false">
      <c r="K1178" s="0" t="s">
        <v>1175</v>
      </c>
      <c r="L1178" s="0" t="e">
        <f aca="false">_xlfn.QUARTILE.INC(A1:A6,-1)</f>
        <v>#VALUE!</v>
      </c>
    </row>
    <row r="1179" customFormat="false" ht="12.8" hidden="false" customHeight="false" outlineLevel="0" collapsed="false">
      <c r="K1179" s="0" t="s">
        <v>1176</v>
      </c>
      <c r="L1179" s="0" t="n">
        <f aca="false">_xlfn.QUARTILE.EXC(A1:A6,1)</f>
        <v>1.75</v>
      </c>
    </row>
    <row r="1180" customFormat="false" ht="12.8" hidden="false" customHeight="false" outlineLevel="0" collapsed="false">
      <c r="K1180" s="0" t="s">
        <v>1177</v>
      </c>
      <c r="L1180" s="0" t="n">
        <f aca="false">_xlfn.QUARTILE.EXC(A1:A6,3)</f>
        <v>5.25</v>
      </c>
    </row>
    <row r="1181" customFormat="false" ht="12.8" hidden="false" customHeight="false" outlineLevel="0" collapsed="false">
      <c r="K1181" s="0" t="s">
        <v>1178</v>
      </c>
      <c r="L1181" s="0" t="e">
        <f aca="false">_xlfn.QUARTILE.EXC(A1:A6,0)</f>
        <v>#VALUE!</v>
      </c>
    </row>
    <row r="1182" customFormat="false" ht="12.8" hidden="false" customHeight="false" outlineLevel="0" collapsed="false">
      <c r="K1182" s="0" t="s">
        <v>1179</v>
      </c>
      <c r="L1182" s="0" t="e">
        <f aca="false">_xlfn.QUARTILE.EXC(A1:A6,4)</f>
        <v>#VALUE!</v>
      </c>
    </row>
    <row r="1183" customFormat="false" ht="12.8" hidden="false" customHeight="false" outlineLevel="0" collapsed="false">
      <c r="K1183" s="0" t="s">
        <v>1180</v>
      </c>
      <c r="L1183" s="0" t="n">
        <f aca="false">PERCENTRANK(A1:A6,3)</f>
        <v>0.4</v>
      </c>
    </row>
    <row r="1184" customFormat="false" ht="12.8" hidden="false" customHeight="false" outlineLevel="0" collapsed="false">
      <c r="K1184" s="0" t="s">
        <v>1181</v>
      </c>
      <c r="L1184" s="0" t="n">
        <f aca="false">PERCENTRANK(A1:A6,3.5)</f>
        <v>0.5</v>
      </c>
    </row>
    <row r="1185" customFormat="false" ht="12.8" hidden="false" customHeight="false" outlineLevel="0" collapsed="false">
      <c r="K1185" s="0" t="s">
        <v>1182</v>
      </c>
      <c r="L1185" s="0" t="e">
        <f aca="false">PERCENTRANK(A1:A6,7)</f>
        <v>#VALUE!</v>
      </c>
    </row>
    <row r="1186" customFormat="false" ht="12.8" hidden="false" customHeight="false" outlineLevel="0" collapsed="false">
      <c r="K1186" s="0" t="s">
        <v>1183</v>
      </c>
      <c r="L1186" s="0" t="n">
        <f aca="false">PERCENTRANK(A1:A6,1)</f>
        <v>0</v>
      </c>
    </row>
    <row r="1187" customFormat="false" ht="12.8" hidden="false" customHeight="false" outlineLevel="0" collapsed="false">
      <c r="K1187" s="0" t="s">
        <v>1184</v>
      </c>
      <c r="L1187" s="0" t="n">
        <f aca="false">_xlfn.PERCENTRANK.INC(A1:A6,2.5,2)</f>
        <v>0.3</v>
      </c>
    </row>
    <row r="1188" customFormat="false" ht="12.8" hidden="false" customHeight="false" outlineLevel="0" collapsed="false">
      <c r="K1188" s="0" t="s">
        <v>1185</v>
      </c>
      <c r="L1188" s="0" t="n">
        <f aca="false">_xlfn.PERCENTRANK.INC(A1:A6,6)</f>
        <v>1</v>
      </c>
    </row>
    <row r="1189" customFormat="false" ht="12.8" hidden="false" customHeight="false" outlineLevel="0" collapsed="false">
      <c r="K1189" s="0" t="s">
        <v>1186</v>
      </c>
      <c r="L1189" s="0" t="e">
        <f aca="false">_xlfn.PERCENTRANK.INC(A1:A6,0)</f>
        <v>#VALUE!</v>
      </c>
    </row>
    <row r="1190" customFormat="false" ht="12.8" hidden="false" customHeight="false" outlineLevel="0" collapsed="false">
      <c r="K1190" s="0" t="s">
        <v>1187</v>
      </c>
      <c r="L1190" s="0" t="n">
        <f aca="false">_xlfn.PERCENTRANK.INC(C1:C6,10.5)</f>
        <v>0.6</v>
      </c>
    </row>
    <row r="1191" customFormat="false" ht="12.8" hidden="false" customHeight="false" outlineLevel="0" collapsed="false">
      <c r="K1191" s="0" t="s">
        <v>1188</v>
      </c>
      <c r="L1191" s="0" t="n">
        <f aca="false">CORREL(A1:A4,F1:F4)</f>
        <v>1</v>
      </c>
    </row>
    <row r="1192" customFormat="false" ht="12.8" hidden="false" customHeight="false" outlineLevel="0" collapsed="false">
      <c r="K1192" s="0" t="s">
        <v>1189</v>
      </c>
      <c r="L1192" s="0" t="n">
        <f aca="false">CORREL(A1:A4,{4;3;2;1})</f>
        <v>-1</v>
      </c>
    </row>
    <row r="1193" customFormat="false" ht="12.8" hidden="false" customHeight="false" outlineLevel="0" collapsed="false">
      <c r="K1193" s="0" t="s">
        <v>1190</v>
      </c>
      <c r="L1193" s="0" t="e">
        <f aca="false">CORREL(A1:A3,A1:A4)</f>
        <v>#VALUE!</v>
      </c>
    </row>
    <row r="1194" customFormat="false" ht="12.8" hidden="false" customHeight="false" outlineLevel="0" collapsed="false">
      <c r="K1194" s="0" t="s">
        <v>1191</v>
      </c>
      <c r="L1194" s="0" t="e">
        <f aca="false">CORREL(A1,F1)</f>
        <v>#DIV/0!</v>
      </c>
    </row>
    <row r="1195" customFormat="false" ht="12.8" hidden="false" customHeight="false" outlineLevel="0" collapsed="false">
      <c r="K1195" s="0" t="s">
        <v>1192</v>
      </c>
      <c r="L1195" s="0" t="n">
        <f aca="false">CORREL(A1:A6,C1:C6)</f>
        <v>0.654676581102423</v>
      </c>
    </row>
    <row r="1196" customFormat="false" ht="12.8" hidden="false" customHeight="false" outlineLevel="0" collapsed="false">
      <c r="K1196" s="0" t="s">
        <v>1193</v>
      </c>
      <c r="L1196" s="0" t="n">
        <f aca="false">COVAR(A1:A4,F1:F4)</f>
        <v>125</v>
      </c>
    </row>
    <row r="1197" customFormat="false" ht="12.8" hidden="false" customHeight="false" outlineLevel="0" collapsed="false">
      <c r="K1197" s="0" t="s">
        <v>1194</v>
      </c>
      <c r="L1197" s="0" t="n">
        <f aca="false">COVAR(A1:A6,C1:C6)</f>
        <v>416671.9375</v>
      </c>
    </row>
    <row r="1198" customFormat="false" ht="12.8" hidden="false" customHeight="false" outlineLevel="0" collapsed="false">
      <c r="K1198" s="0" t="s">
        <v>1195</v>
      </c>
      <c r="L1198" s="0" t="e">
        <f aca="false">COVAR(A1:A3,A1:A4)</f>
        <v>#VALUE!</v>
      </c>
    </row>
    <row r="1199" customFormat="false" ht="12.8" hidden="false" customHeight="false" outlineLevel="0" collapsed="false">
      <c r="K1199" s="0" t="s">
        <v>1196</v>
      </c>
      <c r="L1199" s="0" t="e">
        <f aca="false">COVAR(B1:B3,A1:A3)</f>
        <v>#VALUE!</v>
      </c>
    </row>
    <row r="1200" customFormat="false" ht="12.8" hidden="false" customHeight="false" outlineLevel="0" collapsed="false">
      <c r="K1200" s="0" t="s">
        <v>1197</v>
      </c>
      <c r="L1200" s="0" t="n">
        <f aca="false">_xlfn.COVARIANCE.P(A1:A4,F1:F4)</f>
        <v>125</v>
      </c>
    </row>
    <row r="1201" customFormat="false" ht="12.8" hidden="false" customHeight="false" outlineLevel="0" collapsed="false">
      <c r="K1201" s="0" t="s">
        <v>1198</v>
      </c>
      <c r="L1201" s="0" t="n">
        <f aca="false">_xlfn.COVARIANCE.P(A1:A6,C1:C6)</f>
        <v>416671.9375</v>
      </c>
    </row>
    <row r="1202" customFormat="false" ht="12.8" hidden="false" customHeight="false" outlineLevel="0" collapsed="false">
      <c r="K1202" s="0" t="s">
        <v>1199</v>
      </c>
      <c r="L1202" s="0" t="e">
        <f aca="false">_xlfn.COVARIANCE.P(A1:A3,A1:A4)</f>
        <v>#VALUE!</v>
      </c>
    </row>
    <row r="1203" customFormat="false" ht="12.8" hidden="false" customHeight="false" outlineLevel="0" collapsed="false">
      <c r="K1203" s="0" t="s">
        <v>1200</v>
      </c>
      <c r="L1203" s="0" t="e">
        <f aca="false">_xlfn.COVARIANCE.P(B1:B3,A1:A3)</f>
        <v>#VALUE!</v>
      </c>
    </row>
    <row r="1204" customFormat="false" ht="12.8" hidden="false" customHeight="false" outlineLevel="0" collapsed="false">
      <c r="K1204" s="0" t="s">
        <v>1201</v>
      </c>
      <c r="L1204" s="0" t="n">
        <f aca="false">_xlfn.COVARIANCE.S(A1:A4,F1:F4)</f>
        <v>166.666666666667</v>
      </c>
    </row>
    <row r="1205" customFormat="false" ht="12.8" hidden="false" customHeight="false" outlineLevel="0" collapsed="false">
      <c r="K1205" s="0" t="s">
        <v>1202</v>
      </c>
      <c r="L1205" s="0" t="n">
        <f aca="false">_xlfn.COVARIANCE.S(A1:A6,C1:C6)</f>
        <v>500006.325</v>
      </c>
    </row>
    <row r="1206" customFormat="false" ht="12.8" hidden="false" customHeight="false" outlineLevel="0" collapsed="false">
      <c r="K1206" s="0" t="s">
        <v>1203</v>
      </c>
      <c r="L1206" s="0" t="e">
        <f aca="false">_xlfn.COVARIANCE.S(A1:A3,A1:A4)</f>
        <v>#VALUE!</v>
      </c>
    </row>
    <row r="1207" customFormat="false" ht="12.8" hidden="false" customHeight="false" outlineLevel="0" collapsed="false">
      <c r="K1207" s="0" t="s">
        <v>1204</v>
      </c>
      <c r="L1207" s="0" t="e">
        <f aca="false">_xlfn.COVARIANCE.S(A1,F1)</f>
        <v>#VALUE!</v>
      </c>
    </row>
    <row r="1208" customFormat="false" ht="12.8" hidden="false" customHeight="false" outlineLevel="0" collapsed="false">
      <c r="K1208" s="0" t="s">
        <v>1205</v>
      </c>
      <c r="L1208" s="0" t="n">
        <f aca="false">SLOPE(F1:F4,A1:A4)</f>
        <v>100</v>
      </c>
    </row>
    <row r="1209" customFormat="false" ht="12.8" hidden="false" customHeight="false" outlineLevel="0" collapsed="false">
      <c r="K1209" s="0" t="s">
        <v>1206</v>
      </c>
      <c r="L1209" s="0" t="n">
        <f aca="false">SLOPE(C1:C6,A1:A6)</f>
        <v>142858.95</v>
      </c>
    </row>
    <row r="1210" customFormat="false" ht="12.8" hidden="false" customHeight="false" outlineLevel="0" collapsed="false">
      <c r="K1210" s="0" t="s">
        <v>1207</v>
      </c>
      <c r="L1210" s="0" t="e">
        <f aca="false">SLOPE(F1:F4,A1:A3)</f>
        <v>#VALUE!</v>
      </c>
    </row>
    <row r="1211" customFormat="false" ht="12.8" hidden="false" customHeight="false" outlineLevel="0" collapsed="false">
      <c r="K1211" s="0" t="s">
        <v>1208</v>
      </c>
      <c r="L1211" s="0" t="e">
        <f aca="false">SLOPE(F1:F4,{1;1;1;1})</f>
        <v>#DIV/0!</v>
      </c>
    </row>
    <row r="1212" customFormat="false" ht="12.8" hidden="false" customHeight="false" outlineLevel="0" collapsed="false">
      <c r="K1212" s="0" t="s">
        <v>1209</v>
      </c>
      <c r="L1212" s="0" t="n">
        <f aca="false">INTERCEPT(F1:F4,A1:A4)</f>
        <v>0</v>
      </c>
    </row>
    <row r="1213" customFormat="false" ht="12.8" hidden="false" customHeight="false" outlineLevel="0" collapsed="false">
      <c r="K1213" s="0" t="s">
        <v>1210</v>
      </c>
      <c r="L1213" s="0" t="n">
        <f aca="false">INTERCEPT(C1:C6,A1:A6)</f>
        <v>-333321.033333333</v>
      </c>
    </row>
    <row r="1214" customFormat="false" ht="12.8" hidden="false" customHeight="false" outlineLevel="0" collapsed="false">
      <c r="K1214" s="0" t="s">
        <v>1211</v>
      </c>
      <c r="L1214" s="0" t="e">
        <f aca="false">INTERCEPT(F1:F4,A1:A3)</f>
        <v>#VALUE!</v>
      </c>
    </row>
    <row r="1215" customFormat="false" ht="12.8" hidden="false" customHeight="false" outlineLevel="0" collapsed="false">
      <c r="K1215" s="0" t="s">
        <v>1212</v>
      </c>
      <c r="L1215" s="0" t="e">
        <f aca="false">INTERCEPT(F1:F4,{1;1;1;1})</f>
        <v>#DIV/0!</v>
      </c>
    </row>
    <row r="1216" customFormat="false" ht="12.8" hidden="false" customHeight="false" outlineLevel="0" collapsed="false">
      <c r="K1216" s="0" t="s">
        <v>1213</v>
      </c>
      <c r="L1216" s="0" t="n">
        <f aca="false">RSQ(F1:F4,A1:A4)</f>
        <v>1</v>
      </c>
    </row>
    <row r="1217" customFormat="false" ht="12.8" hidden="false" customHeight="false" outlineLevel="0" collapsed="false">
      <c r="K1217" s="0" t="s">
        <v>1214</v>
      </c>
      <c r="L1217" s="0" t="n">
        <f aca="false">RSQ(C1:C6,A1:A6)</f>
        <v>0.428601425843957</v>
      </c>
    </row>
    <row r="1218" customFormat="false" ht="12.8" hidden="false" customHeight="false" outlineLevel="0" collapsed="false">
      <c r="K1218" s="0" t="s">
        <v>1215</v>
      </c>
      <c r="L1218" s="0" t="e">
        <f aca="false">RSQ(F1:F4,A1:A3)</f>
        <v>#VALUE!</v>
      </c>
    </row>
    <row r="1219" customFormat="false" ht="12.8" hidden="false" customHeight="false" outlineLevel="0" collapsed="false">
      <c r="K1219" s="0" t="s">
        <v>1216</v>
      </c>
      <c r="L1219" s="0" t="e">
        <f aca="false">RSQ(F1:F4,{1;1;1;1})</f>
        <v>#DIV/0!</v>
      </c>
    </row>
    <row r="1220" customFormat="false" ht="12.8" hidden="false" customHeight="false" outlineLevel="0" collapsed="false">
      <c r="K1220" s="0" t="s">
        <v>1217</v>
      </c>
      <c r="L1220" s="0" t="n">
        <f aca="false">FORECAST(5,F1:F4,A1:A4)</f>
        <v>500</v>
      </c>
    </row>
    <row r="1221" customFormat="false" ht="12.8" hidden="false" customHeight="false" outlineLevel="0" collapsed="false">
      <c r="K1221" s="0" t="s">
        <v>1218</v>
      </c>
      <c r="L1221" s="0" t="n">
        <f aca="false">FORECAST(7,C1:C6,A1:A6)</f>
        <v>666691.616666667</v>
      </c>
    </row>
    <row r="1222" customFormat="false" ht="12.8" hidden="false" customHeight="false" outlineLevel="0" collapsed="false">
      <c r="K1222" s="0" t="s">
        <v>1219</v>
      </c>
      <c r="L1222" s="0" t="e">
        <f aca="false">FORECAST(5,F1:F4,A1:A3)</f>
        <v>#VALUE!</v>
      </c>
    </row>
    <row r="1223" customFormat="false" ht="12.8" hidden="false" customHeight="false" outlineLevel="0" collapsed="false">
      <c r="K1223" s="0" t="s">
        <v>1220</v>
      </c>
      <c r="L1223" s="0" t="e">
        <f aca="false">FORECAST(B1,F1:F4,A1:A4)</f>
        <v>#VALUE!</v>
      </c>
    </row>
    <row r="1224" customFormat="false" ht="12.8" hidden="false" customHeight="false" outlineLevel="0" collapsed="false">
      <c r="K1224" s="0" t="s">
        <v>1221</v>
      </c>
      <c r="L1224" s="0" t="n">
        <f aca="false">_xlfn.FORECAST.LINEAR(10,F1:F4,A1:A4)</f>
        <v>1000</v>
      </c>
    </row>
    <row r="1225" customFormat="false" ht="12.8" hidden="false" customHeight="false" outlineLevel="0" collapsed="false">
      <c r="K1225" s="0" t="s">
        <v>1222</v>
      </c>
      <c r="L1225" s="0" t="n">
        <f aca="false">_xlfn.FORECAST.LINEAR(0,C1:C6,A1:A6)</f>
        <v>-333321.033333333</v>
      </c>
    </row>
    <row r="1226" customFormat="false" ht="12.8" hidden="false" customHeight="false" outlineLevel="0" collapsed="false">
      <c r="K1226" s="0" t="s">
        <v>1223</v>
      </c>
      <c r="L1226" s="0" t="e">
        <f aca="false">_xlfn.FORECAST.LINEAR(5,F1:F4,A1:A3)</f>
        <v>#VALUE!</v>
      </c>
    </row>
    <row r="1227" customFormat="false" ht="12.8" hidden="false" customHeight="false" outlineLevel="0" collapsed="false">
      <c r="K1227" s="0" t="s">
        <v>1224</v>
      </c>
      <c r="L1227" s="0" t="n">
        <f aca="false">_xlfn.FORECAST.LINEAR(2.5,F1:F4,A1:A4)</f>
        <v>250</v>
      </c>
    </row>
    <row r="1228" customFormat="false" ht="12.8" hidden="false" customHeight="false" outlineLevel="0" collapsed="false">
      <c r="K1228" s="0" t="s">
        <v>1225</v>
      </c>
      <c r="L1228" s="0" t="n">
        <f aca="false">TREND(F1:F4,A1:A4,5)</f>
        <v>500</v>
      </c>
    </row>
    <row r="1229" customFormat="false" ht="12.8" hidden="false" customHeight="false" outlineLevel="0" collapsed="false">
      <c r="K1229" s="0" t="s">
        <v>1226</v>
      </c>
      <c r="L1229" s="0" t="n">
        <f aca="false">SUM(TREND(F1:F4,A1:A4,A5:A6))</f>
        <v>1100</v>
      </c>
    </row>
    <row r="1230" customFormat="false" ht="12.8" hidden="false" customHeight="false" outlineLevel="0" collapsed="false">
      <c r="K1230" s="0" t="s">
        <v>1227</v>
      </c>
      <c r="L1230" s="0" t="n">
        <f aca="false">INDEX(TREND(F1:F4),2)</f>
        <v>200</v>
      </c>
    </row>
    <row r="1231" customFormat="false" ht="12.8" hidden="false" customHeight="false" outlineLevel="0" collapsed="false">
      <c r="K1231" s="0" t="s">
        <v>1228</v>
      </c>
      <c r="L1231" s="0" t="n">
        <f aca="false">TREND(F1:F4,A1:A4,5,FALSE())</f>
        <v>500</v>
      </c>
    </row>
    <row r="1232" customFormat="false" ht="12.8" hidden="false" customHeight="false" outlineLevel="0" collapsed="false">
      <c r="K1232" s="0" t="s">
        <v>1229</v>
      </c>
      <c r="L1232" s="0" t="n">
        <f aca="false">TREND(A1:A4,F1:F4,250)</f>
        <v>2.5</v>
      </c>
    </row>
    <row r="1233" customFormat="false" ht="12.8" hidden="false" customHeight="false" outlineLevel="0" collapsed="false">
      <c r="K1233" s="0" t="s">
        <v>1230</v>
      </c>
      <c r="L1233" s="0" t="n">
        <f aca="false">GEOMEAN(1,2,4)</f>
        <v>2</v>
      </c>
    </row>
    <row r="1234" customFormat="false" ht="12.8" hidden="false" customHeight="false" outlineLevel="0" collapsed="false">
      <c r="K1234" s="0" t="s">
        <v>1231</v>
      </c>
      <c r="L1234" s="0" t="n">
        <f aca="false">GEOMEAN(A1:A6)</f>
        <v>2.99379516552391</v>
      </c>
    </row>
    <row r="1235" customFormat="false" ht="12.8" hidden="false" customHeight="false" outlineLevel="0" collapsed="false">
      <c r="K1235" s="0" t="s">
        <v>1232</v>
      </c>
      <c r="L1235" s="0" t="e">
        <f aca="false">GEOMEAN(C1:C3)</f>
        <v>#VALUE!</v>
      </c>
    </row>
    <row r="1236" customFormat="false" ht="12.8" hidden="false" customHeight="false" outlineLevel="0" collapsed="false">
      <c r="K1236" s="0" t="s">
        <v>1233</v>
      </c>
      <c r="L1236" s="0" t="e">
        <f aca="false">GEOMEAN(B1:B2)</f>
        <v>#NUM!</v>
      </c>
    </row>
    <row r="1237" customFormat="false" ht="12.8" hidden="false" customHeight="false" outlineLevel="0" collapsed="false">
      <c r="K1237" s="0" t="s">
        <v>1234</v>
      </c>
      <c r="L1237" s="0" t="n">
        <f aca="false">HARMEAN(1,2,4)</f>
        <v>1.71428571428571</v>
      </c>
    </row>
    <row r="1238" customFormat="false" ht="12.8" hidden="false" customHeight="false" outlineLevel="0" collapsed="false">
      <c r="K1238" s="0" t="s">
        <v>1235</v>
      </c>
      <c r="L1238" s="0" t="n">
        <f aca="false">HARMEAN(A1:A3)</f>
        <v>1.63636363636364</v>
      </c>
    </row>
    <row r="1239" customFormat="false" ht="12.8" hidden="false" customHeight="false" outlineLevel="0" collapsed="false">
      <c r="K1239" s="0" t="s">
        <v>1236</v>
      </c>
      <c r="L1239" s="0" t="e">
        <f aca="false">HARMEAN(C1:C3)</f>
        <v>#VALUE!</v>
      </c>
    </row>
    <row r="1240" customFormat="false" ht="12.8" hidden="false" customHeight="false" outlineLevel="0" collapsed="false">
      <c r="K1240" s="0" t="s">
        <v>1237</v>
      </c>
      <c r="L1240" s="0" t="e">
        <f aca="false">HARMEAN(B1:B2)</f>
        <v>#NUM!</v>
      </c>
    </row>
    <row r="1241" customFormat="false" ht="12.8" hidden="false" customHeight="false" outlineLevel="0" collapsed="false">
      <c r="K1241" s="0" t="s">
        <v>1238</v>
      </c>
      <c r="L1241" s="0" t="n">
        <f aca="false">DEVSQ(A1:A6)</f>
        <v>17.5</v>
      </c>
    </row>
    <row r="1242" customFormat="false" ht="12.8" hidden="false" customHeight="false" outlineLevel="0" collapsed="false">
      <c r="K1242" s="0" t="s">
        <v>1239</v>
      </c>
      <c r="L1242" s="0" t="n">
        <f aca="false">DEVSQ(1,2,3)</f>
        <v>2</v>
      </c>
    </row>
    <row r="1243" customFormat="false" ht="12.8" hidden="false" customHeight="false" outlineLevel="0" collapsed="false">
      <c r="K1243" s="0" t="s">
        <v>1240</v>
      </c>
      <c r="L1243" s="0" t="n">
        <f aca="false">DEVSQ(C1:C4)</f>
        <v>7171.1875</v>
      </c>
    </row>
    <row r="1244" customFormat="false" ht="12.8" hidden="false" customHeight="false" outlineLevel="0" collapsed="false">
      <c r="K1244" s="0" t="s">
        <v>1241</v>
      </c>
      <c r="L1244" s="0" t="e">
        <f aca="false">DEVSQ(B1:B3)</f>
        <v>#DIV/0!</v>
      </c>
    </row>
    <row r="1245" customFormat="false" ht="12.8" hidden="false" customHeight="false" outlineLevel="0" collapsed="false">
      <c r="K1245" s="0" t="s">
        <v>1242</v>
      </c>
      <c r="L1245" s="0" t="n">
        <f aca="false">AVEDEV(A1:A6)</f>
        <v>1.5</v>
      </c>
    </row>
    <row r="1246" customFormat="false" ht="12.8" hidden="false" customHeight="false" outlineLevel="0" collapsed="false">
      <c r="K1246" s="0" t="s">
        <v>1243</v>
      </c>
      <c r="L1246" s="0" t="n">
        <f aca="false">AVEDEV(1,2,3,4)</f>
        <v>1</v>
      </c>
    </row>
    <row r="1247" customFormat="false" ht="12.8" hidden="false" customHeight="false" outlineLevel="0" collapsed="false">
      <c r="K1247" s="0" t="s">
        <v>1244</v>
      </c>
      <c r="L1247" s="0" t="n">
        <f aca="false">AVEDEV(C1:C4)</f>
        <v>36.4375</v>
      </c>
    </row>
    <row r="1248" customFormat="false" ht="12.8" hidden="false" customHeight="false" outlineLevel="0" collapsed="false">
      <c r="K1248" s="0" t="s">
        <v>1245</v>
      </c>
      <c r="L1248" s="0" t="e">
        <f aca="false">AVEDEV(B1:B3)</f>
        <v>#NUM!</v>
      </c>
    </row>
    <row r="1249" customFormat="false" ht="12.8" hidden="false" customHeight="false" outlineLevel="0" collapsed="false">
      <c r="K1249" s="0" t="s">
        <v>1246</v>
      </c>
      <c r="L1249" s="7" t="n">
        <f aca="false">PMT(0.08/12,10,10000)</f>
        <v>-1037.03208935915</v>
      </c>
    </row>
    <row r="1250" customFormat="false" ht="12.8" hidden="false" customHeight="false" outlineLevel="0" collapsed="false">
      <c r="K1250" s="0" t="s">
        <v>1247</v>
      </c>
      <c r="L1250" s="7" t="n">
        <f aca="false">PMT(0,10,1000)</f>
        <v>-100</v>
      </c>
    </row>
    <row r="1251" customFormat="false" ht="12.8" hidden="false" customHeight="false" outlineLevel="0" collapsed="false">
      <c r="K1251" s="0" t="s">
        <v>1248</v>
      </c>
      <c r="L1251" s="7" t="n">
        <f aca="false">PMT(0.05,5,1000,0,1)</f>
        <v>-219.975998217398</v>
      </c>
    </row>
    <row r="1252" customFormat="false" ht="12.8" hidden="false" customHeight="false" outlineLevel="0" collapsed="false">
      <c r="K1252" s="0" t="s">
        <v>1249</v>
      </c>
      <c r="L1252" s="7" t="e">
        <f aca="false">PMT(0.05,0,100)</f>
        <v>#NUM!</v>
      </c>
    </row>
    <row r="1253" customFormat="false" ht="12.8" hidden="false" customHeight="false" outlineLevel="0" collapsed="false">
      <c r="K1253" s="0" t="s">
        <v>1250</v>
      </c>
      <c r="L1253" s="7" t="n">
        <f aca="false">PMT(0.06,12,-5000,1000)</f>
        <v>537.108117522654</v>
      </c>
    </row>
    <row r="1254" customFormat="false" ht="12.8" hidden="false" customHeight="false" outlineLevel="0" collapsed="false">
      <c r="K1254" s="0" t="s">
        <v>1251</v>
      </c>
      <c r="L1254" s="7" t="n">
        <f aca="false">FV(0.06/12,10,-200,-500,1)</f>
        <v>2581.40337406014</v>
      </c>
    </row>
    <row r="1255" customFormat="false" ht="12.8" hidden="false" customHeight="false" outlineLevel="0" collapsed="false">
      <c r="K1255" s="0" t="s">
        <v>1252</v>
      </c>
      <c r="L1255" s="7" t="n">
        <f aca="false">FV(0,10,-100)</f>
        <v>1000</v>
      </c>
    </row>
    <row r="1256" customFormat="false" ht="12.8" hidden="false" customHeight="false" outlineLevel="0" collapsed="false">
      <c r="K1256" s="0" t="s">
        <v>1253</v>
      </c>
      <c r="L1256" s="7" t="n">
        <f aca="false">FV(0.05,5,-100,0,0)</f>
        <v>552.563125000001</v>
      </c>
    </row>
    <row r="1257" customFormat="false" ht="12.8" hidden="false" customHeight="false" outlineLevel="0" collapsed="false">
      <c r="K1257" s="0" t="s">
        <v>1254</v>
      </c>
      <c r="L1257" s="7" t="n">
        <f aca="false">FV(0.1,2,0,-100)</f>
        <v>121</v>
      </c>
    </row>
    <row r="1258" customFormat="false" ht="12.8" hidden="false" customHeight="false" outlineLevel="0" collapsed="false">
      <c r="K1258" s="0" t="s">
        <v>1255</v>
      </c>
      <c r="L1258" s="7" t="n">
        <f aca="false">PV(0.08/12,240,500)</f>
        <v>-59777.1458511878</v>
      </c>
    </row>
    <row r="1259" customFormat="false" ht="12.8" hidden="false" customHeight="false" outlineLevel="0" collapsed="false">
      <c r="K1259" s="0" t="s">
        <v>1256</v>
      </c>
      <c r="L1259" s="7" t="n">
        <f aca="false">PV(0,5,-10)</f>
        <v>50</v>
      </c>
    </row>
    <row r="1260" customFormat="false" ht="12.8" hidden="false" customHeight="false" outlineLevel="0" collapsed="false">
      <c r="K1260" s="0" t="s">
        <v>1257</v>
      </c>
      <c r="L1260" s="7" t="n">
        <f aca="false">PV(0.05,10,-100,0,1)</f>
        <v>810.782167564406</v>
      </c>
    </row>
    <row r="1261" customFormat="false" ht="12.8" hidden="false" customHeight="false" outlineLevel="0" collapsed="false">
      <c r="K1261" s="0" t="s">
        <v>1258</v>
      </c>
      <c r="L1261" s="7" t="n">
        <f aca="false">PV(0.05,10,0,1000)</f>
        <v>-613.913253540759</v>
      </c>
    </row>
    <row r="1262" customFormat="false" ht="12.8" hidden="false" customHeight="false" outlineLevel="0" collapsed="false">
      <c r="K1262" s="0" t="s">
        <v>1259</v>
      </c>
      <c r="L1262" s="0" t="n">
        <f aca="false">NPER(0.12/12,-100,-1000,10000)</f>
        <v>60.0821228537617</v>
      </c>
    </row>
    <row r="1263" customFormat="false" ht="12.8" hidden="false" customHeight="false" outlineLevel="0" collapsed="false">
      <c r="K1263" s="0" t="s">
        <v>1260</v>
      </c>
      <c r="L1263" s="0" t="n">
        <f aca="false">NPER(0,-100,1000)</f>
        <v>10</v>
      </c>
    </row>
    <row r="1264" customFormat="false" ht="12.8" hidden="false" customHeight="false" outlineLevel="0" collapsed="false">
      <c r="K1264" s="0" t="s">
        <v>1261</v>
      </c>
      <c r="L1264" s="0" t="n">
        <f aca="false">NPER(0.05,-100,1000,0,1)</f>
        <v>13.2532278981381</v>
      </c>
    </row>
    <row r="1265" customFormat="false" ht="12.8" hidden="false" customHeight="false" outlineLevel="0" collapsed="false">
      <c r="K1265" s="0" t="s">
        <v>1262</v>
      </c>
      <c r="L1265" s="0" t="e">
        <f aca="false">NPER(0.01,0,100)</f>
        <v>#NUM!</v>
      </c>
    </row>
    <row r="1266" customFormat="false" ht="12.8" hidden="false" customHeight="false" outlineLevel="0" collapsed="false">
      <c r="K1266" s="0" t="s">
        <v>1263</v>
      </c>
      <c r="L1266" s="7" t="n">
        <f aca="false">IPMT(0.1/12,1,36,8000)</f>
        <v>-66.6666666666667</v>
      </c>
    </row>
    <row r="1267" customFormat="false" ht="12.8" hidden="false" customHeight="false" outlineLevel="0" collapsed="false">
      <c r="K1267" s="0" t="s">
        <v>1264</v>
      </c>
      <c r="L1267" s="7" t="n">
        <f aca="false">IPMT(0.1/12,3,36,8000)</f>
        <v>-63.4621895664547</v>
      </c>
    </row>
    <row r="1268" customFormat="false" ht="12.8" hidden="false" customHeight="false" outlineLevel="0" collapsed="false">
      <c r="K1268" s="0" t="s">
        <v>1265</v>
      </c>
      <c r="L1268" s="7" t="n">
        <f aca="false">IPMT(0.1,3,3,8000)</f>
        <v>-292.447129909365</v>
      </c>
    </row>
    <row r="1269" customFormat="false" ht="12.8" hidden="false" customHeight="false" outlineLevel="0" collapsed="false">
      <c r="K1269" s="0" t="s">
        <v>1266</v>
      </c>
      <c r="L1269" s="7" t="n">
        <f aca="false">IPMT(0.1/12,1,36,8000,0,1)</f>
        <v>0</v>
      </c>
    </row>
    <row r="1270" customFormat="false" ht="12.8" hidden="false" customHeight="false" outlineLevel="0" collapsed="false">
      <c r="K1270" s="0" t="s">
        <v>1267</v>
      </c>
      <c r="L1270" s="7" t="e">
        <f aca="false">IPMT(0.05,0,3,1000)</f>
        <v>#VALUE!</v>
      </c>
    </row>
    <row r="1271" customFormat="false" ht="12.8" hidden="false" customHeight="false" outlineLevel="0" collapsed="false">
      <c r="K1271" s="0" t="s">
        <v>1268</v>
      </c>
      <c r="L1271" s="7" t="n">
        <f aca="false">IPMT(0.05,2,3,1000,0,1)</f>
        <v>-32.5138778747026</v>
      </c>
    </row>
    <row r="1272" customFormat="false" ht="12.8" hidden="false" customHeight="false" outlineLevel="0" collapsed="false">
      <c r="K1272" s="0" t="s">
        <v>1269</v>
      </c>
      <c r="L1272" s="7" t="n">
        <f aca="false">PPMT(0.1/12,1,24,2000)</f>
        <v>-75.6231860083664</v>
      </c>
    </row>
    <row r="1273" customFormat="false" ht="12.8" hidden="false" customHeight="false" outlineLevel="0" collapsed="false">
      <c r="K1273" s="0" t="s">
        <v>1270</v>
      </c>
      <c r="L1273" s="7" t="n">
        <f aca="false">PPMT(0.08,10,10,200000)</f>
        <v>-27598.0534624214</v>
      </c>
    </row>
    <row r="1274" customFormat="false" ht="12.8" hidden="false" customHeight="false" outlineLevel="0" collapsed="false">
      <c r="K1274" s="0" t="s">
        <v>1271</v>
      </c>
      <c r="L1274" s="7" t="n">
        <f aca="false">PPMT(0.05,2,3,1000,0,1)</f>
        <v>-317.208564631245</v>
      </c>
    </row>
    <row r="1275" customFormat="false" ht="12.8" hidden="false" customHeight="false" outlineLevel="0" collapsed="false">
      <c r="K1275" s="0" t="s">
        <v>1272</v>
      </c>
      <c r="L1275" s="7" t="e">
        <f aca="false">PPMT(0.05,4,3,1000)</f>
        <v>#VALUE!</v>
      </c>
    </row>
    <row r="1276" customFormat="false" ht="12.8" hidden="false" customHeight="false" outlineLevel="0" collapsed="false">
      <c r="K1276" s="0" t="s">
        <v>1273</v>
      </c>
      <c r="L1276" s="7" t="n">
        <f aca="false">NPV(0.1,-10000,3000,4200,6800)</f>
        <v>1188.44341233522</v>
      </c>
    </row>
    <row r="1277" customFormat="false" ht="12.8" hidden="false" customHeight="false" outlineLevel="0" collapsed="false">
      <c r="K1277" s="0" t="s">
        <v>1274</v>
      </c>
      <c r="L1277" s="7" t="n">
        <f aca="false">NPV(0.1,A1:A3)</f>
        <v>4.81592787377911</v>
      </c>
    </row>
    <row r="1278" customFormat="false" ht="12.8" hidden="false" customHeight="false" outlineLevel="0" collapsed="false">
      <c r="K1278" s="0" t="s">
        <v>1275</v>
      </c>
      <c r="L1278" s="7" t="e">
        <f aca="false">NPV(-1,1,2)</f>
        <v>#NUM!</v>
      </c>
    </row>
    <row r="1279" customFormat="false" ht="12.8" hidden="false" customHeight="false" outlineLevel="0" collapsed="false">
      <c r="K1279" s="0" t="s">
        <v>1276</v>
      </c>
      <c r="L1279" s="7" t="n">
        <f aca="false">NPV(0.08,F1:F4)</f>
        <v>796.221970077581</v>
      </c>
    </row>
    <row r="1280" customFormat="false" ht="12.8" hidden="false" customHeight="false" outlineLevel="0" collapsed="false">
      <c r="K1280" s="0" t="s">
        <v>1277</v>
      </c>
      <c r="L1280" s="0" t="n">
        <f aca="false">ROUND(IRR({-70000,12000,15000,18000,21000,26000}),6)</f>
        <v>0.086631</v>
      </c>
    </row>
    <row r="1281" customFormat="false" ht="12.8" hidden="false" customHeight="false" outlineLevel="0" collapsed="false">
      <c r="K1281" s="0" t="s">
        <v>1278</v>
      </c>
      <c r="L1281" s="0" t="n">
        <f aca="false">ROUND(IRR({-100,110}),6)</f>
        <v>0.1</v>
      </c>
    </row>
    <row r="1282" customFormat="false" ht="12.8" hidden="false" customHeight="false" outlineLevel="0" collapsed="false">
      <c r="K1282" s="0" t="s">
        <v>1279</v>
      </c>
      <c r="L1282" s="6" t="e">
        <f aca="false">IRR({1,2,3})</f>
        <v>#N/A</v>
      </c>
    </row>
    <row r="1283" customFormat="false" ht="12.8" hidden="false" customHeight="false" outlineLevel="0" collapsed="false">
      <c r="K1283" s="0" t="s">
        <v>1280</v>
      </c>
      <c r="L1283" s="0" t="n">
        <f aca="false">ROUND(IRR({-1000,300,400,500},0.2),6)</f>
        <v>0.088963</v>
      </c>
    </row>
    <row r="1284" customFormat="false" ht="12.8" hidden="false" customHeight="false" outlineLevel="0" collapsed="false">
      <c r="K1284" s="0" t="s">
        <v>1281</v>
      </c>
      <c r="L1284" s="0" t="n">
        <f aca="false">ROUND(RATE(48,-200,8000),6)</f>
        <v>0.007701</v>
      </c>
    </row>
    <row r="1285" customFormat="false" ht="12.8" hidden="false" customHeight="false" outlineLevel="0" collapsed="false">
      <c r="K1285" s="0" t="s">
        <v>1282</v>
      </c>
      <c r="L1285" s="0" t="n">
        <f aca="false">ROUND(RATE(10,0,-100,200),6)</f>
        <v>0.071773</v>
      </c>
    </row>
    <row r="1286" customFormat="false" ht="12.8" hidden="false" customHeight="false" outlineLevel="0" collapsed="false">
      <c r="K1286" s="0" t="s">
        <v>1283</v>
      </c>
      <c r="L1286" s="6" t="e">
        <f aca="false">RATE(0,-100,1000)</f>
        <v>#VALUE!</v>
      </c>
    </row>
    <row r="1287" customFormat="false" ht="12.8" hidden="false" customHeight="false" outlineLevel="0" collapsed="false">
      <c r="K1287" s="0" t="s">
        <v>1284</v>
      </c>
      <c r="L1287" s="0" t="n">
        <f aca="false">ROUND(RATE(12,-100,1000),6)</f>
        <v>0.029229</v>
      </c>
    </row>
    <row r="1288" customFormat="false" ht="12.8" hidden="false" customHeight="false" outlineLevel="0" collapsed="false">
      <c r="K1288" s="0" t="s">
        <v>1285</v>
      </c>
      <c r="L1288" s="7" t="n">
        <f aca="false">SLN(30000,7500,10)</f>
        <v>2250</v>
      </c>
    </row>
    <row r="1289" customFormat="false" ht="12.8" hidden="false" customHeight="false" outlineLevel="0" collapsed="false">
      <c r="K1289" s="0" t="s">
        <v>1286</v>
      </c>
      <c r="L1289" s="7" t="n">
        <f aca="false">SLN(100,0,4)</f>
        <v>25</v>
      </c>
    </row>
    <row r="1290" customFormat="false" ht="12.8" hidden="false" customHeight="false" outlineLevel="0" collapsed="false">
      <c r="K1290" s="0" t="s">
        <v>1287</v>
      </c>
      <c r="L1290" s="7" t="e">
        <f aca="false">SLN(100,10,0)</f>
        <v>#DIV/0!</v>
      </c>
    </row>
    <row r="1291" customFormat="false" ht="12.8" hidden="false" customHeight="false" outlineLevel="0" collapsed="false">
      <c r="K1291" s="0" t="s">
        <v>1288</v>
      </c>
      <c r="L1291" s="7" t="n">
        <f aca="false">SLN(F1,0,4)</f>
        <v>25</v>
      </c>
    </row>
    <row r="1292" customFormat="false" ht="12.8" hidden="false" customHeight="false" outlineLevel="0" collapsed="false">
      <c r="K1292" s="0" t="s">
        <v>1289</v>
      </c>
      <c r="L1292" s="7" t="n">
        <f aca="false">SYD(30000,7500,10,1)</f>
        <v>4090.90909090909</v>
      </c>
    </row>
    <row r="1293" customFormat="false" ht="12.8" hidden="false" customHeight="false" outlineLevel="0" collapsed="false">
      <c r="K1293" s="0" t="s">
        <v>1290</v>
      </c>
      <c r="L1293" s="7" t="n">
        <f aca="false">SYD(30000,7500,10,10)</f>
        <v>409.090909090909</v>
      </c>
    </row>
    <row r="1294" customFormat="false" ht="12.8" hidden="false" customHeight="false" outlineLevel="0" collapsed="false">
      <c r="K1294" s="0" t="s">
        <v>1291</v>
      </c>
      <c r="L1294" s="7" t="n">
        <f aca="false">SYD(100,0,4,5)</f>
        <v>0</v>
      </c>
    </row>
    <row r="1295" customFormat="false" ht="12.8" hidden="false" customHeight="false" outlineLevel="0" collapsed="false">
      <c r="K1295" s="0" t="s">
        <v>1292</v>
      </c>
      <c r="L1295" s="7" t="n">
        <f aca="false">SYD(100,0,4,0)</f>
        <v>50</v>
      </c>
    </row>
    <row r="1296" customFormat="false" ht="12.8" hidden="false" customHeight="false" outlineLevel="0" collapsed="false">
      <c r="K1296" s="0" t="s">
        <v>1293</v>
      </c>
      <c r="L1296" s="7" t="n">
        <f aca="false">DB(1000000,100000,6,1,7)</f>
        <v>186083.333333333</v>
      </c>
    </row>
    <row r="1297" customFormat="false" ht="12.8" hidden="false" customHeight="false" outlineLevel="0" collapsed="false">
      <c r="K1297" s="0" t="s">
        <v>1294</v>
      </c>
      <c r="L1297" s="7" t="n">
        <f aca="false">DB(1000000,100000,6,2,7)</f>
        <v>259639.416666667</v>
      </c>
    </row>
    <row r="1298" customFormat="false" ht="12.8" hidden="false" customHeight="false" outlineLevel="0" collapsed="false">
      <c r="K1298" s="0" t="s">
        <v>1295</v>
      </c>
      <c r="L1298" s="7" t="n">
        <f aca="false">DB(1000000,100000,6,7,7)</f>
        <v>15845.0984738481</v>
      </c>
    </row>
    <row r="1299" customFormat="false" ht="12.8" hidden="false" customHeight="false" outlineLevel="0" collapsed="false">
      <c r="K1299" s="0" t="s">
        <v>1296</v>
      </c>
      <c r="L1299" s="7" t="n">
        <f aca="false">DB(1000000,100000,6,1)</f>
        <v>319000</v>
      </c>
    </row>
    <row r="1300" customFormat="false" ht="12.8" hidden="false" customHeight="false" outlineLevel="0" collapsed="false">
      <c r="K1300" s="0" t="s">
        <v>1297</v>
      </c>
      <c r="L1300" s="7" t="n">
        <f aca="false">DB(1000,100,5,6)</f>
        <v>0</v>
      </c>
    </row>
    <row r="1301" customFormat="false" ht="12.8" hidden="false" customHeight="false" outlineLevel="0" collapsed="false">
      <c r="K1301" s="0" t="s">
        <v>1298</v>
      </c>
      <c r="L1301" s="7" t="n">
        <f aca="false">DDB(2400,300,10*365,1)</f>
        <v>1.31506849315065</v>
      </c>
    </row>
    <row r="1302" customFormat="false" ht="12.8" hidden="false" customHeight="false" outlineLevel="0" collapsed="false">
      <c r="K1302" s="0" t="s">
        <v>1299</v>
      </c>
      <c r="L1302" s="7" t="n">
        <f aca="false">DDB(2400,300,10,1,2)</f>
        <v>480</v>
      </c>
    </row>
    <row r="1303" customFormat="false" ht="12.8" hidden="false" customHeight="false" outlineLevel="0" collapsed="false">
      <c r="K1303" s="0" t="s">
        <v>1300</v>
      </c>
      <c r="L1303" s="7" t="n">
        <f aca="false">DDB(2400,300,10,2,2)</f>
        <v>384</v>
      </c>
    </row>
    <row r="1304" customFormat="false" ht="12.8" hidden="false" customHeight="false" outlineLevel="0" collapsed="false">
      <c r="K1304" s="0" t="s">
        <v>1301</v>
      </c>
      <c r="L1304" s="7" t="n">
        <f aca="false">DDB(2400,300,10,10)</f>
        <v>22.1225472000002</v>
      </c>
    </row>
    <row r="1305" customFormat="false" ht="12.8" hidden="false" customHeight="false" outlineLevel="0" collapsed="false">
      <c r="K1305" s="0" t="s">
        <v>1302</v>
      </c>
      <c r="L1305" s="7" t="e">
        <f aca="false">DDB(100,0,5,6)</f>
        <v>#VALUE!</v>
      </c>
    </row>
    <row r="1306" customFormat="false" ht="12.8" hidden="false" customHeight="false" outlineLevel="0" collapsed="false">
      <c r="K1306" s="0" t="s">
        <v>1303</v>
      </c>
      <c r="L1306" s="6" t="n">
        <f aca="false">EFFECT(0.0525,4)</f>
        <v>0.0535426673707582</v>
      </c>
    </row>
    <row r="1307" customFormat="false" ht="12.8" hidden="false" customHeight="false" outlineLevel="0" collapsed="false">
      <c r="K1307" s="0" t="s">
        <v>1304</v>
      </c>
      <c r="L1307" s="6" t="n">
        <f aca="false">EFFECT(0.1,1)</f>
        <v>0.1</v>
      </c>
    </row>
    <row r="1308" customFormat="false" ht="12.8" hidden="false" customHeight="false" outlineLevel="0" collapsed="false">
      <c r="K1308" s="0" t="s">
        <v>1305</v>
      </c>
      <c r="L1308" s="6" t="n">
        <f aca="false">EFFECT(0,4)</f>
        <v>0</v>
      </c>
    </row>
    <row r="1309" customFormat="false" ht="12.8" hidden="false" customHeight="false" outlineLevel="0" collapsed="false">
      <c r="K1309" s="0" t="s">
        <v>1306</v>
      </c>
      <c r="L1309" s="6" t="e">
        <f aca="false">EFFECT(0.1,0)</f>
        <v>#VALUE!</v>
      </c>
    </row>
    <row r="1310" customFormat="false" ht="12.8" hidden="false" customHeight="false" outlineLevel="0" collapsed="false">
      <c r="K1310" s="0" t="s">
        <v>1307</v>
      </c>
      <c r="L1310" s="6" t="n">
        <f aca="false">NOMINAL(0.053543,4)</f>
        <v>0.052500319868356</v>
      </c>
    </row>
    <row r="1311" customFormat="false" ht="12.8" hidden="false" customHeight="false" outlineLevel="0" collapsed="false">
      <c r="K1311" s="0" t="s">
        <v>1308</v>
      </c>
      <c r="L1311" s="6" t="n">
        <f aca="false">NOMINAL(0.1,1)</f>
        <v>0.1</v>
      </c>
    </row>
    <row r="1312" customFormat="false" ht="12.8" hidden="false" customHeight="false" outlineLevel="0" collapsed="false">
      <c r="K1312" s="0" t="s">
        <v>1309</v>
      </c>
      <c r="L1312" s="6" t="e">
        <f aca="false">NOMINAL(0,4)</f>
        <v>#VALUE!</v>
      </c>
    </row>
    <row r="1313" customFormat="false" ht="12.8" hidden="false" customHeight="false" outlineLevel="0" collapsed="false">
      <c r="K1313" s="0" t="s">
        <v>1310</v>
      </c>
      <c r="L1313" s="6" t="e">
        <f aca="false">NOMINAL(0.1,0)</f>
        <v>#VALUE!</v>
      </c>
    </row>
    <row r="1314" customFormat="false" ht="12.8" hidden="false" customHeight="false" outlineLevel="0" collapsed="false">
      <c r="K1314" s="0" t="s">
        <v>1311</v>
      </c>
      <c r="L1314" s="0" t="n">
        <f aca="false">ROUND(MIRR({-120000,39000,30000,21000,37000,46000},0.1,0.12),6)</f>
        <v>0.126094</v>
      </c>
    </row>
    <row r="1315" customFormat="false" ht="12.8" hidden="false" customHeight="false" outlineLevel="0" collapsed="false">
      <c r="K1315" s="0" t="s">
        <v>1312</v>
      </c>
      <c r="L1315" s="6" t="e">
        <f aca="false">MIRR({1,2,3},0.1,0.1)</f>
        <v>#VALUE!</v>
      </c>
    </row>
    <row r="1316" customFormat="false" ht="12.8" hidden="false" customHeight="false" outlineLevel="0" collapsed="false">
      <c r="K1316" s="0" t="s">
        <v>1313</v>
      </c>
      <c r="L1316" s="0" t="n">
        <f aca="false">ROUND(MIRR({-100,50,60},0.05,0.05),6)</f>
        <v>0.06066</v>
      </c>
    </row>
    <row r="1317" customFormat="false" ht="12.8" hidden="false" customHeight="false" outlineLevel="0" collapsed="false">
      <c r="K1317" s="0" t="s">
        <v>1314</v>
      </c>
      <c r="L1317" s="6" t="e">
        <f aca="false">MIRR({-100,-50},0.1,0.1)</f>
        <v>#VALUE!</v>
      </c>
    </row>
    <row r="1318" customFormat="false" ht="12.8" hidden="false" customHeight="false" outlineLevel="0" collapsed="false">
      <c r="K1318" s="0" t="s">
        <v>1315</v>
      </c>
      <c r="L1318" s="0" t="str">
        <f aca="false">_xlfn.IFS(A1&gt;5,"a",A1&gt;0,"b")</f>
        <v>b</v>
      </c>
    </row>
    <row r="1319" customFormat="false" ht="12.8" hidden="false" customHeight="false" outlineLevel="0" collapsed="false">
      <c r="K1319" s="0" t="s">
        <v>1316</v>
      </c>
      <c r="L1319" s="0" t="n">
        <f aca="false">_xlfn.IFS(FALSE(),1,TRUE(),2)</f>
        <v>2</v>
      </c>
    </row>
    <row r="1320" customFormat="false" ht="12.8" hidden="false" customHeight="false" outlineLevel="0" collapsed="false">
      <c r="K1320" s="0" t="s">
        <v>1317</v>
      </c>
      <c r="L1320" s="0" t="e">
        <f aca="false">_xlfn.IFS(FALSE(),1,FALSE(),2)</f>
        <v>#N/A</v>
      </c>
    </row>
    <row r="1321" customFormat="false" ht="12.8" hidden="false" customHeight="false" outlineLevel="0" collapsed="false">
      <c r="K1321" s="0" t="s">
        <v>1318</v>
      </c>
      <c r="L1321" s="0" t="n">
        <f aca="false">_xlfn.IFS(TRUE(),1,1/0,2)</f>
        <v>1</v>
      </c>
    </row>
    <row r="1322" customFormat="false" ht="12.8" hidden="false" customHeight="false" outlineLevel="0" collapsed="false">
      <c r="K1322" s="0" t="s">
        <v>1319</v>
      </c>
      <c r="L1322" s="0" t="str">
        <f aca="false">_xlfn.IFS(A1,"x")</f>
        <v>x</v>
      </c>
    </row>
    <row r="1323" customFormat="false" ht="12.8" hidden="false" customHeight="false" outlineLevel="0" collapsed="false">
      <c r="K1323" s="0" t="s">
        <v>1320</v>
      </c>
      <c r="L1323" s="0" t="str">
        <f aca="false">_xlfn.SWITCH(2,1,"a",2,"b","z")</f>
        <v>b</v>
      </c>
    </row>
    <row r="1324" customFormat="false" ht="12.8" hidden="false" customHeight="false" outlineLevel="0" collapsed="false">
      <c r="K1324" s="0" t="s">
        <v>1321</v>
      </c>
      <c r="L1324" s="0" t="str">
        <f aca="false">_xlfn.SWITCH(9,1,"a",2,"b","z")</f>
        <v>z</v>
      </c>
    </row>
    <row r="1325" customFormat="false" ht="12.8" hidden="false" customHeight="false" outlineLevel="0" collapsed="false">
      <c r="K1325" s="0" t="s">
        <v>1322</v>
      </c>
      <c r="L1325" s="0" t="e">
        <f aca="false">_xlfn.SWITCH(9,1,"a")</f>
        <v>#N/A</v>
      </c>
    </row>
    <row r="1326" customFormat="false" ht="12.8" hidden="false" customHeight="false" outlineLevel="0" collapsed="false">
      <c r="K1326" s="0" t="s">
        <v>1323</v>
      </c>
      <c r="L1326" s="0" t="n">
        <f aca="false">_xlfn.SWITCH("B","a",1,"b",2)</f>
        <v>2</v>
      </c>
    </row>
    <row r="1327" customFormat="false" ht="12.8" hidden="false" customHeight="false" outlineLevel="0" collapsed="false">
      <c r="K1327" s="0" t="s">
        <v>1324</v>
      </c>
      <c r="L1327" s="0" t="str">
        <f aca="false">_xlfn.SWITCH(A3,1,"one",3,"three")</f>
        <v>three</v>
      </c>
    </row>
    <row r="1328" customFormat="false" ht="12.8" hidden="false" customHeight="false" outlineLevel="0" collapsed="false">
      <c r="K1328" s="0" t="s">
        <v>1325</v>
      </c>
      <c r="L1328" s="0" t="str">
        <f aca="false">_xlfn.IFNA(H2,"x")</f>
        <v>x</v>
      </c>
    </row>
    <row r="1329" customFormat="false" ht="12.8" hidden="false" customHeight="false" outlineLevel="0" collapsed="false">
      <c r="K1329" s="0" t="s">
        <v>1326</v>
      </c>
      <c r="L1329" s="0" t="e">
        <f aca="false">_xlfn.IFNA(H1,"x")</f>
        <v>#DIV/0!</v>
      </c>
    </row>
    <row r="1330" customFormat="false" ht="12.8" hidden="false" customHeight="false" outlineLevel="0" collapsed="false">
      <c r="K1330" s="0" t="s">
        <v>1327</v>
      </c>
      <c r="L1330" s="0" t="n">
        <f aca="false">_xlfn.IFNA(5,"x")</f>
        <v>5</v>
      </c>
    </row>
    <row r="1331" customFormat="false" ht="12.8" hidden="false" customHeight="false" outlineLevel="0" collapsed="false">
      <c r="K1331" s="0" t="s">
        <v>1328</v>
      </c>
      <c r="L1331" s="0" t="n">
        <f aca="false">_xlfn.IFNA(MATCH(9,A1:A6,0),0)</f>
        <v>0</v>
      </c>
    </row>
    <row r="1332" customFormat="false" ht="12.8" hidden="false" customHeight="false" outlineLevel="0" collapsed="false">
      <c r="K1332" s="0" t="s">
        <v>1329</v>
      </c>
      <c r="L1332" s="1" t="b">
        <f aca="false">_xlfn.XOR(TRUE(),FALSE())</f>
        <v>1</v>
      </c>
    </row>
    <row r="1333" customFormat="false" ht="12.8" hidden="false" customHeight="false" outlineLevel="0" collapsed="false">
      <c r="K1333" s="0" t="s">
        <v>1330</v>
      </c>
      <c r="L1333" s="1" t="b">
        <f aca="false">_xlfn.XOR(TRUE(),TRUE())</f>
        <v>0</v>
      </c>
    </row>
    <row r="1334" customFormat="false" ht="12.8" hidden="false" customHeight="false" outlineLevel="0" collapsed="false">
      <c r="K1334" s="0" t="s">
        <v>1331</v>
      </c>
      <c r="L1334" s="1" t="b">
        <f aca="false">_xlfn.XOR(TRUE(),TRUE(),TRUE())</f>
        <v>1</v>
      </c>
    </row>
    <row r="1335" customFormat="false" ht="12.8" hidden="false" customHeight="false" outlineLevel="0" collapsed="false">
      <c r="K1335" s="0" t="s">
        <v>1332</v>
      </c>
      <c r="L1335" s="1" t="b">
        <f aca="false">_xlfn.XOR(1,0,0)</f>
        <v>1</v>
      </c>
    </row>
    <row r="1336" customFormat="false" ht="12.8" hidden="false" customHeight="false" outlineLevel="0" collapsed="false">
      <c r="K1336" s="0" t="s">
        <v>1333</v>
      </c>
      <c r="L1336" s="1" t="e">
        <f aca="false">_xlfn.XOR(H1)</f>
        <v>#DIV/0!</v>
      </c>
    </row>
    <row r="1337" customFormat="false" ht="12.8" hidden="false" customHeight="false" outlineLevel="0" collapsed="false">
      <c r="K1337" s="0" t="s">
        <v>1334</v>
      </c>
      <c r="L1337" s="1" t="b">
        <f aca="false">ISLOGICAL(TRUE())</f>
        <v>1</v>
      </c>
    </row>
    <row r="1338" customFormat="false" ht="12.8" hidden="false" customHeight="false" outlineLevel="0" collapsed="false">
      <c r="K1338" s="0" t="s">
        <v>1335</v>
      </c>
      <c r="L1338" s="1" t="b">
        <f aca="false">ISLOGICAL(1)</f>
        <v>0</v>
      </c>
    </row>
    <row r="1339" customFormat="false" ht="12.8" hidden="false" customHeight="false" outlineLevel="0" collapsed="false">
      <c r="K1339" s="0" t="s">
        <v>1336</v>
      </c>
      <c r="L1339" s="1" t="b">
        <f aca="false">ISLOGICAL("TRUE")</f>
        <v>0</v>
      </c>
    </row>
    <row r="1340" customFormat="false" ht="12.8" hidden="false" customHeight="false" outlineLevel="0" collapsed="false">
      <c r="K1340" s="0" t="s">
        <v>1337</v>
      </c>
      <c r="L1340" s="1" t="b">
        <f aca="false">ISLOGICAL(1=1)</f>
        <v>1</v>
      </c>
    </row>
    <row r="1341" customFormat="false" ht="12.8" hidden="false" customHeight="false" outlineLevel="0" collapsed="false">
      <c r="K1341" s="0" t="s">
        <v>1338</v>
      </c>
      <c r="L1341" s="1" t="b">
        <f aca="false">ISEVEN(2)</f>
        <v>1</v>
      </c>
    </row>
    <row r="1342" customFormat="false" ht="12.8" hidden="false" customHeight="false" outlineLevel="0" collapsed="false">
      <c r="K1342" s="0" t="s">
        <v>1339</v>
      </c>
      <c r="L1342" s="1" t="b">
        <f aca="false">ISEVEN(3)</f>
        <v>0</v>
      </c>
    </row>
    <row r="1343" customFormat="false" ht="12.8" hidden="false" customHeight="false" outlineLevel="0" collapsed="false">
      <c r="K1343" s="0" t="s">
        <v>1340</v>
      </c>
      <c r="L1343" s="1" t="b">
        <f aca="false">ISEVEN(-2.9)</f>
        <v>1</v>
      </c>
    </row>
    <row r="1344" customFormat="false" ht="12.8" hidden="false" customHeight="false" outlineLevel="0" collapsed="false">
      <c r="K1344" s="0" t="s">
        <v>1341</v>
      </c>
      <c r="L1344" s="1" t="e">
        <f aca="false">ISEVEN("a")</f>
        <v>#VALUE!</v>
      </c>
    </row>
    <row r="1345" customFormat="false" ht="12.8" hidden="false" customHeight="false" outlineLevel="0" collapsed="false">
      <c r="K1345" s="0" t="s">
        <v>1342</v>
      </c>
      <c r="L1345" s="1" t="b">
        <f aca="false">ISEVEN(A2)</f>
        <v>1</v>
      </c>
    </row>
    <row r="1346" customFormat="false" ht="12.8" hidden="false" customHeight="false" outlineLevel="0" collapsed="false">
      <c r="K1346" s="0" t="s">
        <v>1343</v>
      </c>
      <c r="L1346" s="1" t="b">
        <f aca="false">ISODD(2)</f>
        <v>0</v>
      </c>
    </row>
    <row r="1347" customFormat="false" ht="12.8" hidden="false" customHeight="false" outlineLevel="0" collapsed="false">
      <c r="K1347" s="0" t="s">
        <v>1344</v>
      </c>
      <c r="L1347" s="1" t="b">
        <f aca="false">ISODD(3)</f>
        <v>1</v>
      </c>
    </row>
    <row r="1348" customFormat="false" ht="12.8" hidden="false" customHeight="false" outlineLevel="0" collapsed="false">
      <c r="K1348" s="0" t="s">
        <v>1345</v>
      </c>
      <c r="L1348" s="1" t="b">
        <f aca="false">ISODD(-3.5)</f>
        <v>1</v>
      </c>
    </row>
    <row r="1349" customFormat="false" ht="12.8" hidden="false" customHeight="false" outlineLevel="0" collapsed="false">
      <c r="K1349" s="0" t="s">
        <v>1346</v>
      </c>
      <c r="L1349" s="1" t="e">
        <f aca="false">ISODD("a")</f>
        <v>#VALUE!</v>
      </c>
    </row>
    <row r="1350" customFormat="false" ht="12.8" hidden="false" customHeight="false" outlineLevel="0" collapsed="false">
      <c r="K1350" s="0" t="s">
        <v>1347</v>
      </c>
      <c r="L1350" s="1" t="b">
        <f aca="false">ISODD(A1)</f>
        <v>1</v>
      </c>
    </row>
    <row r="1351" customFormat="false" ht="12.8" hidden="false" customHeight="false" outlineLevel="0" collapsed="false">
      <c r="K1351" s="0" t="s">
        <v>1348</v>
      </c>
      <c r="L1351" s="0" t="n">
        <f aca="false">N(5)</f>
        <v>5</v>
      </c>
    </row>
    <row r="1352" customFormat="false" ht="12.8" hidden="false" customHeight="false" outlineLevel="0" collapsed="false">
      <c r="K1352" s="0" t="s">
        <v>1349</v>
      </c>
      <c r="L1352" s="0" t="n">
        <f aca="false">N("a")</f>
        <v>0</v>
      </c>
    </row>
    <row r="1353" customFormat="false" ht="12.8" hidden="false" customHeight="false" outlineLevel="0" collapsed="false">
      <c r="K1353" s="0" t="s">
        <v>1350</v>
      </c>
      <c r="L1353" s="0" t="n">
        <f aca="false">N(TRUE())</f>
        <v>1</v>
      </c>
    </row>
    <row r="1354" customFormat="false" ht="12.8" hidden="false" customHeight="false" outlineLevel="0" collapsed="false">
      <c r="K1354" s="0" t="s">
        <v>1351</v>
      </c>
      <c r="L1354" s="0" t="e">
        <f aca="false">N(H1)</f>
        <v>#DIV/0!</v>
      </c>
    </row>
    <row r="1355" customFormat="false" ht="12.8" hidden="false" customHeight="false" outlineLevel="0" collapsed="false">
      <c r="K1355" s="0" t="s">
        <v>1352</v>
      </c>
      <c r="L1355" s="0" t="n">
        <f aca="false">N(B1)</f>
        <v>0</v>
      </c>
    </row>
    <row r="1356" customFormat="false" ht="12.8" hidden="false" customHeight="false" outlineLevel="0" collapsed="false">
      <c r="K1356" s="0" t="s">
        <v>1353</v>
      </c>
      <c r="L1356" s="0" t="n">
        <f aca="false">N(A3)</f>
        <v>3</v>
      </c>
    </row>
    <row r="1357" customFormat="false" ht="12.8" hidden="false" customHeight="false" outlineLevel="0" collapsed="false">
      <c r="K1357" s="0" t="s">
        <v>1354</v>
      </c>
      <c r="L1357" s="0" t="str">
        <f aca="false">T("a")</f>
        <v>a</v>
      </c>
    </row>
    <row r="1358" customFormat="false" ht="12.8" hidden="false" customHeight="false" outlineLevel="0" collapsed="false">
      <c r="K1358" s="0" t="s">
        <v>1355</v>
      </c>
      <c r="L1358" s="0" t="str">
        <f aca="false">T(5)</f>
        <v/>
      </c>
    </row>
    <row r="1359" customFormat="false" ht="12.8" hidden="false" customHeight="false" outlineLevel="0" collapsed="false">
      <c r="K1359" s="0" t="s">
        <v>1356</v>
      </c>
      <c r="L1359" s="0" t="str">
        <f aca="false">T(B1)</f>
        <v>apple</v>
      </c>
    </row>
    <row r="1360" customFormat="false" ht="12.8" hidden="false" customHeight="false" outlineLevel="0" collapsed="false">
      <c r="K1360" s="0" t="s">
        <v>1357</v>
      </c>
      <c r="L1360" s="0" t="e">
        <f aca="false">T(H2)</f>
        <v>#N/A</v>
      </c>
    </row>
    <row r="1361" customFormat="false" ht="12.8" hidden="false" customHeight="false" outlineLevel="0" collapsed="false">
      <c r="K1361" s="0" t="s">
        <v>1358</v>
      </c>
      <c r="L1361" s="0" t="str">
        <f aca="false">T(TRUE())</f>
        <v/>
      </c>
    </row>
    <row r="1362" customFormat="false" ht="12.8" hidden="false" customHeight="false" outlineLevel="0" collapsed="false">
      <c r="K1362" s="0" t="s">
        <v>1359</v>
      </c>
      <c r="L1362" s="0" t="n">
        <f aca="false">TYPE(1)</f>
        <v>1</v>
      </c>
    </row>
    <row r="1363" customFormat="false" ht="12.8" hidden="false" customHeight="false" outlineLevel="0" collapsed="false">
      <c r="K1363" s="0" t="s">
        <v>1360</v>
      </c>
      <c r="L1363" s="0" t="n">
        <f aca="false">TYPE("a")</f>
        <v>2</v>
      </c>
    </row>
    <row r="1364" customFormat="false" ht="12.8" hidden="false" customHeight="false" outlineLevel="0" collapsed="false">
      <c r="K1364" s="0" t="s">
        <v>1361</v>
      </c>
      <c r="L1364" s="0" t="n">
        <f aca="false">TYPE(TRUE())</f>
        <v>1</v>
      </c>
    </row>
    <row r="1365" customFormat="false" ht="12.8" hidden="false" customHeight="false" outlineLevel="0" collapsed="false">
      <c r="K1365" s="0" t="s">
        <v>1362</v>
      </c>
      <c r="L1365" s="0" t="n">
        <f aca="false">TYPE(H1)</f>
        <v>16</v>
      </c>
    </row>
    <row r="1366" customFormat="false" ht="12.8" hidden="false" customHeight="false" outlineLevel="0" collapsed="false">
      <c r="K1366" s="0" t="s">
        <v>1363</v>
      </c>
      <c r="L1366" s="0" t="n">
        <f aca="false">TYPE({1,2})</f>
        <v>64</v>
      </c>
    </row>
    <row r="1367" customFormat="false" ht="12.8" hidden="false" customHeight="false" outlineLevel="0" collapsed="false">
      <c r="K1367" s="0" t="s">
        <v>1364</v>
      </c>
      <c r="L1367" s="0" t="e">
        <f aca="false">TYPE(A1:A2)</f>
        <v>#VALUE!</v>
      </c>
    </row>
    <row r="1368" customFormat="false" ht="12.8" hidden="false" customHeight="false" outlineLevel="0" collapsed="false">
      <c r="K1368" s="0" t="s">
        <v>1365</v>
      </c>
      <c r="L1368" s="0" t="n">
        <f aca="false">TYPE(A1)</f>
        <v>1</v>
      </c>
    </row>
    <row r="1369" customFormat="false" ht="12.8" hidden="false" customHeight="false" outlineLevel="0" collapsed="false">
      <c r="K1369" s="0" t="s">
        <v>1366</v>
      </c>
      <c r="L1369" s="0" t="n">
        <f aca="false">TYPE(B1)</f>
        <v>2</v>
      </c>
    </row>
    <row r="1370" customFormat="false" ht="12.8" hidden="false" customHeight="false" outlineLevel="0" collapsed="false">
      <c r="K1370" s="0" t="s">
        <v>1367</v>
      </c>
      <c r="L1370" s="0" t="n">
        <f aca="true">CELL("row",A5)</f>
        <v>5</v>
      </c>
    </row>
    <row r="1371" customFormat="false" ht="12.8" hidden="false" customHeight="false" outlineLevel="0" collapsed="false">
      <c r="K1371" s="0" t="s">
        <v>1368</v>
      </c>
      <c r="L1371" s="0" t="n">
        <f aca="true">CELL("col",C1)</f>
        <v>3</v>
      </c>
    </row>
    <row r="1372" customFormat="false" ht="12.8" hidden="false" customHeight="false" outlineLevel="0" collapsed="false">
      <c r="K1372" s="0" t="s">
        <v>1369</v>
      </c>
      <c r="L1372" s="0" t="str">
        <f aca="true">CELL("address",B2)</f>
        <v>$B$2</v>
      </c>
    </row>
    <row r="1373" customFormat="false" ht="12.8" hidden="false" customHeight="false" outlineLevel="0" collapsed="false">
      <c r="K1373" s="0" t="s">
        <v>1370</v>
      </c>
      <c r="L1373" s="0" t="n">
        <f aca="true">CELL("contents",A3)</f>
        <v>3</v>
      </c>
    </row>
    <row r="1374" customFormat="false" ht="12.8" hidden="false" customHeight="false" outlineLevel="0" collapsed="false">
      <c r="K1374" s="0" t="s">
        <v>1371</v>
      </c>
      <c r="L1374" s="0" t="str">
        <f aca="true">CELL("type",B1)</f>
        <v>l</v>
      </c>
    </row>
    <row r="1375" customFormat="false" ht="12.8" hidden="false" customHeight="false" outlineLevel="0" collapsed="false">
      <c r="K1375" s="0" t="s">
        <v>1372</v>
      </c>
      <c r="L1375" s="0" t="str">
        <f aca="true">CELL("type",A1)</f>
        <v>v</v>
      </c>
    </row>
    <row r="1376" customFormat="false" ht="12.8" hidden="false" customHeight="false" outlineLevel="0" collapsed="false">
      <c r="K1376" s="0" t="s">
        <v>1373</v>
      </c>
      <c r="L1376" s="0" t="str">
        <f aca="true">CELL("type",J9)</f>
        <v>b</v>
      </c>
    </row>
    <row r="1377" customFormat="false" ht="12.8" hidden="false" customHeight="false" outlineLevel="0" collapsed="false">
      <c r="K1377" s="0" t="s">
        <v>1374</v>
      </c>
      <c r="L1377" s="1" t="b">
        <f aca="false">ISERR(H1)</f>
        <v>1</v>
      </c>
    </row>
    <row r="1378" customFormat="false" ht="12.8" hidden="false" customHeight="false" outlineLevel="0" collapsed="false">
      <c r="K1378" s="0" t="s">
        <v>1375</v>
      </c>
      <c r="L1378" s="1" t="b">
        <f aca="false">ISERR(H2)</f>
        <v>0</v>
      </c>
    </row>
    <row r="1379" customFormat="false" ht="12.8" hidden="false" customHeight="false" outlineLevel="0" collapsed="false">
      <c r="K1379" s="0" t="s">
        <v>1376</v>
      </c>
      <c r="L1379" s="1" t="b">
        <f aca="false">ISERR(1)</f>
        <v>0</v>
      </c>
    </row>
    <row r="1380" customFormat="false" ht="12.8" hidden="false" customHeight="false" outlineLevel="0" collapsed="false">
      <c r="K1380" s="0" t="s">
        <v>1377</v>
      </c>
      <c r="L1380" s="1" t="b">
        <f aca="false">ISERR(1/0)</f>
        <v>1</v>
      </c>
    </row>
    <row r="1381" customFormat="false" ht="12.8" hidden="false" customHeight="false" outlineLevel="0" collapsed="false">
      <c r="K1381" s="0" t="s">
        <v>1378</v>
      </c>
      <c r="L1381" s="1" t="b">
        <f aca="false">ISNONTEXT(1)</f>
        <v>1</v>
      </c>
    </row>
    <row r="1382" customFormat="false" ht="12.8" hidden="false" customHeight="false" outlineLevel="0" collapsed="false">
      <c r="K1382" s="0" t="s">
        <v>1379</v>
      </c>
      <c r="L1382" s="1" t="b">
        <f aca="false">ISNONTEXT("a")</f>
        <v>0</v>
      </c>
    </row>
    <row r="1383" customFormat="false" ht="12.8" hidden="false" customHeight="false" outlineLevel="0" collapsed="false">
      <c r="K1383" s="0" t="s">
        <v>1380</v>
      </c>
      <c r="L1383" s="1" t="b">
        <f aca="false">ISNONTEXT(J9)</f>
        <v>1</v>
      </c>
    </row>
    <row r="1384" customFormat="false" ht="12.8" hidden="false" customHeight="false" outlineLevel="0" collapsed="false">
      <c r="K1384" s="0" t="s">
        <v>1381</v>
      </c>
      <c r="L1384" s="1" t="b">
        <f aca="false">ISNONTEXT(H1)</f>
        <v>1</v>
      </c>
    </row>
    <row r="1385" customFormat="false" ht="12.8" hidden="false" customHeight="false" outlineLevel="0" collapsed="false">
      <c r="K1385" s="0" t="s">
        <v>1382</v>
      </c>
      <c r="L1385" s="1" t="b">
        <f aca="false">ISREF(A1)</f>
        <v>1</v>
      </c>
    </row>
    <row r="1386" customFormat="false" ht="12.8" hidden="false" customHeight="false" outlineLevel="0" collapsed="false">
      <c r="K1386" s="0" t="s">
        <v>1383</v>
      </c>
      <c r="L1386" s="1" t="b">
        <f aca="false">ISREF(1)</f>
        <v>0</v>
      </c>
    </row>
    <row r="1387" customFormat="false" ht="12.8" hidden="false" customHeight="false" outlineLevel="0" collapsed="false">
      <c r="K1387" s="0" t="s">
        <v>1384</v>
      </c>
      <c r="L1387" s="1" t="b">
        <f aca="false">ISREF(A1:B2)</f>
        <v>1</v>
      </c>
    </row>
    <row r="1388" customFormat="false" ht="12.8" hidden="false" customHeight="false" outlineLevel="0" collapsed="false">
      <c r="K1388" s="0" t="s">
        <v>1385</v>
      </c>
      <c r="L1388" s="1" t="b">
        <f aca="false">ISREF(INDEX(A1:A3,2))</f>
        <v>1</v>
      </c>
    </row>
    <row r="1389" customFormat="false" ht="12.8" hidden="false" customHeight="false" outlineLevel="0" collapsed="false">
      <c r="K1389" s="0" t="s">
        <v>1386</v>
      </c>
      <c r="L1389" s="1" t="b">
        <f aca="false">ISREF("A1")</f>
        <v>0</v>
      </c>
    </row>
    <row r="1390" customFormat="false" ht="12.8" hidden="false" customHeight="false" outlineLevel="0" collapsed="false">
      <c r="K1390" s="0" t="s">
        <v>1387</v>
      </c>
      <c r="L1390" s="0" t="n">
        <f aca="false">SEARCH("an","banana")</f>
        <v>2</v>
      </c>
    </row>
    <row r="1391" customFormat="false" ht="12.8" hidden="false" customHeight="false" outlineLevel="0" collapsed="false">
      <c r="K1391" s="0" t="s">
        <v>1388</v>
      </c>
      <c r="L1391" s="0" t="n">
        <f aca="false">SEARCH("AN","banana",3)</f>
        <v>4</v>
      </c>
    </row>
    <row r="1392" customFormat="false" ht="12.8" hidden="false" customHeight="false" outlineLevel="0" collapsed="false">
      <c r="K1392" s="0" t="s">
        <v>1389</v>
      </c>
      <c r="L1392" s="0" t="n">
        <f aca="false">SEARCH("b?n","banana")</f>
        <v>1</v>
      </c>
    </row>
    <row r="1393" customFormat="false" ht="12.8" hidden="false" customHeight="false" outlineLevel="0" collapsed="false">
      <c r="K1393" s="0" t="s">
        <v>1390</v>
      </c>
      <c r="L1393" s="0" t="e">
        <f aca="false">SEARCH("z","banana")</f>
        <v>#VALUE!</v>
      </c>
    </row>
    <row r="1394" customFormat="false" ht="12.8" hidden="false" customHeight="false" outlineLevel="0" collapsed="false">
      <c r="K1394" s="0" t="s">
        <v>1391</v>
      </c>
      <c r="L1394" s="0" t="n">
        <f aca="false">SEARCH("a*a","banana")</f>
        <v>2</v>
      </c>
    </row>
    <row r="1395" customFormat="false" ht="12.8" hidden="false" customHeight="false" outlineLevel="0" collapsed="false">
      <c r="K1395" s="0" t="s">
        <v>1392</v>
      </c>
      <c r="L1395" s="0" t="n">
        <f aca="false">SEARCH("~?","what?")</f>
        <v>5</v>
      </c>
    </row>
    <row r="1396" customFormat="false" ht="12.8" hidden="false" customHeight="false" outlineLevel="0" collapsed="false">
      <c r="K1396" s="0" t="s">
        <v>1393</v>
      </c>
      <c r="L1396" s="0" t="str">
        <f aca="false">REPLACE("abcdef",3,2,"XY")</f>
        <v>abXYef</v>
      </c>
    </row>
    <row r="1397" customFormat="false" ht="12.8" hidden="false" customHeight="false" outlineLevel="0" collapsed="false">
      <c r="K1397" s="0" t="s">
        <v>1394</v>
      </c>
      <c r="L1397" s="0" t="str">
        <f aca="false">REPLACE("abc",5,1,"Z")</f>
        <v>abcZ</v>
      </c>
    </row>
    <row r="1398" customFormat="false" ht="12.8" hidden="false" customHeight="false" outlineLevel="0" collapsed="false">
      <c r="K1398" s="0" t="s">
        <v>1395</v>
      </c>
      <c r="L1398" s="0" t="str">
        <f aca="false">REPLACE("abc",1,0,"Z")</f>
        <v>Zabc</v>
      </c>
    </row>
    <row r="1399" customFormat="false" ht="12.8" hidden="false" customHeight="false" outlineLevel="0" collapsed="false">
      <c r="K1399" s="0" t="s">
        <v>1396</v>
      </c>
      <c r="L1399" s="0" t="e">
        <f aca="false">REPLACE("abc",0,1,"Z")</f>
        <v>#VALUE!</v>
      </c>
    </row>
    <row r="1400" customFormat="false" ht="12.8" hidden="false" customHeight="false" outlineLevel="0" collapsed="false">
      <c r="K1400" s="0" t="s">
        <v>1397</v>
      </c>
      <c r="L1400" s="0" t="str">
        <f aca="false">REPLACE(B1,1,1,"A")</f>
        <v>Apple</v>
      </c>
    </row>
    <row r="1401" customFormat="false" ht="12.8" hidden="false" customHeight="false" outlineLevel="0" collapsed="false">
      <c r="K1401" s="0" t="s">
        <v>1398</v>
      </c>
      <c r="L1401" s="0" t="str">
        <f aca="false">REPT("ab",3)</f>
        <v>ababab</v>
      </c>
    </row>
    <row r="1402" customFormat="false" ht="12.8" hidden="false" customHeight="false" outlineLevel="0" collapsed="false">
      <c r="K1402" s="0" t="s">
        <v>1399</v>
      </c>
      <c r="L1402" s="0" t="str">
        <f aca="false">REPT("x",0)</f>
        <v/>
      </c>
    </row>
    <row r="1403" customFormat="false" ht="12.8" hidden="false" customHeight="false" outlineLevel="0" collapsed="false">
      <c r="K1403" s="0" t="s">
        <v>1400</v>
      </c>
      <c r="L1403" s="0" t="e">
        <f aca="false">REPT("x",-1)</f>
        <v>#VALUE!</v>
      </c>
    </row>
    <row r="1404" customFormat="false" ht="12.8" hidden="false" customHeight="false" outlineLevel="0" collapsed="false">
      <c r="K1404" s="0" t="s">
        <v>1401</v>
      </c>
      <c r="L1404" s="0" t="str">
        <f aca="false">REPT(A1,3)</f>
        <v>111</v>
      </c>
    </row>
    <row r="1405" customFormat="false" ht="12.8" hidden="false" customHeight="false" outlineLevel="0" collapsed="false">
      <c r="K1405" s="0" t="s">
        <v>1402</v>
      </c>
      <c r="L1405" s="0" t="str">
        <f aca="false">REPT("-",2.9)</f>
        <v>--</v>
      </c>
    </row>
    <row r="1406" customFormat="false" ht="12.8" hidden="false" customHeight="false" outlineLevel="0" collapsed="false">
      <c r="K1406" s="0" t="s">
        <v>1403</v>
      </c>
      <c r="L1406" s="0" t="str">
        <f aca="false">PROPER("hello world")</f>
        <v>Hello World</v>
      </c>
    </row>
    <row r="1407" customFormat="false" ht="12.8" hidden="false" customHeight="false" outlineLevel="0" collapsed="false">
      <c r="K1407" s="0" t="s">
        <v>1404</v>
      </c>
      <c r="L1407" s="0" t="str">
        <f aca="false">PROPER("o'neil mc-donald")</f>
        <v>O'Neil Mc-Donald</v>
      </c>
    </row>
    <row r="1408" customFormat="false" ht="12.8" hidden="false" customHeight="false" outlineLevel="0" collapsed="false">
      <c r="K1408" s="0" t="s">
        <v>1405</v>
      </c>
      <c r="L1408" s="0" t="str">
        <f aca="false">PROPER("2nd place")</f>
        <v>2Nd Place</v>
      </c>
    </row>
    <row r="1409" customFormat="false" ht="12.8" hidden="false" customHeight="false" outlineLevel="0" collapsed="false">
      <c r="K1409" s="0" t="s">
        <v>1406</v>
      </c>
      <c r="L1409" s="0" t="str">
        <f aca="false">PROPER(B1)</f>
        <v>Apple</v>
      </c>
    </row>
    <row r="1410" customFormat="false" ht="12.8" hidden="false" customHeight="false" outlineLevel="0" collapsed="false">
      <c r="K1410" s="0" t="s">
        <v>1407</v>
      </c>
      <c r="L1410" s="0" t="str">
        <f aca="false">PROPER("ÀB cD")</f>
        <v>Àb Cd</v>
      </c>
    </row>
    <row r="1411" customFormat="false" ht="12.8" hidden="false" customHeight="false" outlineLevel="0" collapsed="false">
      <c r="K1411" s="0" t="s">
        <v>1408</v>
      </c>
      <c r="L1411" s="0" t="str">
        <f aca="false">CHAR(65)</f>
        <v>A</v>
      </c>
    </row>
    <row r="1412" customFormat="false" ht="12.8" hidden="false" customHeight="false" outlineLevel="0" collapsed="false">
      <c r="K1412" s="0" t="s">
        <v>1409</v>
      </c>
      <c r="L1412" s="0" t="str">
        <f aca="false">CHAR(97)</f>
        <v>a</v>
      </c>
    </row>
    <row r="1413" customFormat="false" ht="12.8" hidden="false" customHeight="false" outlineLevel="0" collapsed="false">
      <c r="K1413" s="0" t="s">
        <v>1410</v>
      </c>
      <c r="L1413" s="0" t="str">
        <f aca="false">CHAR(0)</f>
        <v>_x0000_</v>
      </c>
    </row>
    <row r="1414" customFormat="false" ht="12.8" hidden="false" customHeight="false" outlineLevel="0" collapsed="false">
      <c r="K1414" s="0" t="s">
        <v>1411</v>
      </c>
      <c r="L1414" s="0" t="e">
        <f aca="false">CHAR(256)</f>
        <v>#VALUE!</v>
      </c>
    </row>
    <row r="1415" customFormat="false" ht="12.8" hidden="false" customHeight="false" outlineLevel="0" collapsed="false">
      <c r="K1415" s="0" t="s">
        <v>1412</v>
      </c>
      <c r="L1415" s="0" t="str">
        <f aca="false">CHAR(169)</f>
        <v>�</v>
      </c>
    </row>
    <row r="1416" customFormat="false" ht="12.8" hidden="false" customHeight="false" outlineLevel="0" collapsed="false">
      <c r="K1416" s="0" t="s">
        <v>1413</v>
      </c>
      <c r="L1416" s="0" t="str">
        <f aca="false">CHAR(233)</f>
        <v>�</v>
      </c>
    </row>
    <row r="1417" customFormat="false" ht="12.8" hidden="false" customHeight="false" outlineLevel="0" collapsed="false">
      <c r="K1417" s="0" t="s">
        <v>1414</v>
      </c>
      <c r="L1417" s="0" t="n">
        <f aca="false">CODE("A")</f>
        <v>65</v>
      </c>
    </row>
    <row r="1418" customFormat="false" ht="12.8" hidden="false" customHeight="false" outlineLevel="0" collapsed="false">
      <c r="K1418" s="0" t="s">
        <v>1415</v>
      </c>
      <c r="L1418" s="0" t="n">
        <f aca="false">CODE("apple")</f>
        <v>97</v>
      </c>
    </row>
    <row r="1419" customFormat="false" ht="12.8" hidden="false" customHeight="false" outlineLevel="0" collapsed="false">
      <c r="K1419" s="0" t="s">
        <v>1416</v>
      </c>
      <c r="L1419" s="0" t="n">
        <f aca="false">CODE("")</f>
        <v>0</v>
      </c>
    </row>
    <row r="1420" customFormat="false" ht="12.8" hidden="false" customHeight="false" outlineLevel="0" collapsed="false">
      <c r="K1420" s="0" t="s">
        <v>1417</v>
      </c>
      <c r="L1420" s="0" t="n">
        <f aca="false">CODE("é")</f>
        <v>195</v>
      </c>
    </row>
    <row r="1421" customFormat="false" ht="12.8" hidden="false" customHeight="false" outlineLevel="0" collapsed="false">
      <c r="K1421" s="0" t="s">
        <v>1418</v>
      </c>
      <c r="L1421" s="0" t="n">
        <f aca="false">CODE(B1)</f>
        <v>97</v>
      </c>
    </row>
    <row r="1422" customFormat="false" ht="12.8" hidden="false" customHeight="false" outlineLevel="0" collapsed="false">
      <c r="K1422" s="0" t="s">
        <v>1419</v>
      </c>
      <c r="L1422" s="0" t="n">
        <f aca="false">_xlfn.UNICODE("A")</f>
        <v>65</v>
      </c>
    </row>
    <row r="1423" customFormat="false" ht="12.8" hidden="false" customHeight="false" outlineLevel="0" collapsed="false">
      <c r="K1423" s="0" t="s">
        <v>1420</v>
      </c>
      <c r="L1423" s="0" t="n">
        <f aca="false">_xlfn.UNICODE("€")</f>
        <v>8364</v>
      </c>
    </row>
    <row r="1424" customFormat="false" ht="12.8" hidden="false" customHeight="false" outlineLevel="0" collapsed="false">
      <c r="K1424" s="0" t="s">
        <v>1421</v>
      </c>
      <c r="L1424" s="0" t="e">
        <f aca="false">_xlfn.UNICODE("")</f>
        <v>#VALUE!</v>
      </c>
    </row>
    <row r="1425" customFormat="false" ht="12.8" hidden="false" customHeight="false" outlineLevel="0" collapsed="false">
      <c r="K1425" s="0" t="s">
        <v>1422</v>
      </c>
      <c r="L1425" s="0" t="n">
        <f aca="false">_xlfn.UNICODE(B2)</f>
        <v>98</v>
      </c>
    </row>
    <row r="1426" customFormat="false" ht="12.8" hidden="false" customHeight="false" outlineLevel="0" collapsed="false">
      <c r="K1426" s="0" t="s">
        <v>1423</v>
      </c>
      <c r="L1426" s="0" t="str">
        <f aca="false">_xlfn.UNICHAR(65)</f>
        <v>A</v>
      </c>
    </row>
    <row r="1427" customFormat="false" ht="12.8" hidden="false" customHeight="false" outlineLevel="0" collapsed="false">
      <c r="K1427" s="0" t="s">
        <v>1424</v>
      </c>
      <c r="L1427" s="0" t="str">
        <f aca="false">_xlfn.UNICHAR(8364)</f>
        <v>€</v>
      </c>
    </row>
    <row r="1428" customFormat="false" ht="12.8" hidden="false" customHeight="false" outlineLevel="0" collapsed="false">
      <c r="K1428" s="0" t="s">
        <v>1425</v>
      </c>
      <c r="L1428" s="0" t="str">
        <f aca="false">_xlfn.UNICHAR(0)</f>
        <v>_x0000_</v>
      </c>
    </row>
    <row r="1429" customFormat="false" ht="12.8" hidden="false" customHeight="false" outlineLevel="0" collapsed="false">
      <c r="K1429" s="0" t="s">
        <v>1426</v>
      </c>
      <c r="L1429" s="0" t="str">
        <f aca="false">_xlfn.UNICHAR(97)</f>
        <v>a</v>
      </c>
    </row>
    <row r="1430" customFormat="false" ht="12.8" hidden="false" customHeight="false" outlineLevel="0" collapsed="false">
      <c r="K1430" s="0" t="s">
        <v>1427</v>
      </c>
      <c r="L1430" s="0" t="str">
        <f aca="false">CLEAN("a"&amp;CHAR(7)&amp;"b")</f>
        <v>ab</v>
      </c>
    </row>
    <row r="1431" customFormat="false" ht="12.8" hidden="false" customHeight="false" outlineLevel="0" collapsed="false">
      <c r="K1431" s="0" t="s">
        <v>1428</v>
      </c>
      <c r="L1431" s="0" t="str">
        <f aca="false">CLEAN(B1)</f>
        <v>apple</v>
      </c>
    </row>
    <row r="1432" customFormat="false" ht="12.8" hidden="false" customHeight="false" outlineLevel="0" collapsed="false">
      <c r="K1432" s="0" t="s">
        <v>1429</v>
      </c>
      <c r="L1432" s="0" t="str">
        <f aca="false">CLEAN("  x ")</f>
        <v>  x </v>
      </c>
    </row>
    <row r="1433" customFormat="false" ht="12.8" hidden="false" customHeight="false" outlineLevel="0" collapsed="false">
      <c r="K1433" s="0" t="s">
        <v>1430</v>
      </c>
      <c r="L1433" s="0" t="str">
        <f aca="false">CLEAN(A1)</f>
        <v>1</v>
      </c>
    </row>
    <row r="1434" customFormat="false" ht="12.8" hidden="false" customHeight="false" outlineLevel="0" collapsed="false">
      <c r="K1434" s="0" t="s">
        <v>1431</v>
      </c>
      <c r="L1434" s="0" t="e">
        <f aca="false">_xlfn.NUMBERVALUE("1,234.5")</f>
        <v>#VALUE!</v>
      </c>
    </row>
    <row r="1435" customFormat="false" ht="12.8" hidden="false" customHeight="false" outlineLevel="0" collapsed="false">
      <c r="K1435" s="0" t="s">
        <v>1432</v>
      </c>
      <c r="L1435" s="0" t="n">
        <f aca="false">_xlfn.NUMBERVALUE("1.234,5",",",".")</f>
        <v>1234.5</v>
      </c>
    </row>
    <row r="1436" customFormat="false" ht="12.8" hidden="false" customHeight="false" outlineLevel="0" collapsed="false">
      <c r="K1436" s="0" t="s">
        <v>1433</v>
      </c>
      <c r="L1436" s="0" t="n">
        <f aca="false">_xlfn.NUMBERVALUE("5%")</f>
        <v>0.05</v>
      </c>
    </row>
    <row r="1437" customFormat="false" ht="12.8" hidden="false" customHeight="false" outlineLevel="0" collapsed="false">
      <c r="K1437" s="0" t="s">
        <v>1434</v>
      </c>
      <c r="L1437" s="0" t="e">
        <f aca="false">_xlfn.NUMBERVALUE("")</f>
        <v>#VALUE!</v>
      </c>
    </row>
    <row r="1438" customFormat="false" ht="12.8" hidden="false" customHeight="false" outlineLevel="0" collapsed="false">
      <c r="K1438" s="0" t="s">
        <v>1435</v>
      </c>
      <c r="L1438" s="0" t="e">
        <f aca="false">_xlfn.NUMBERVALUE("abc")</f>
        <v>#VALUE!</v>
      </c>
    </row>
    <row r="1439" customFormat="false" ht="12.8" hidden="false" customHeight="false" outlineLevel="0" collapsed="false">
      <c r="K1439" s="0" t="s">
        <v>1436</v>
      </c>
      <c r="L1439" s="0" t="n">
        <f aca="false">_xlfn.NUMBERVALUE("1%%")</f>
        <v>0.0001</v>
      </c>
    </row>
    <row r="1440" customFormat="false" ht="12.8" hidden="false" customHeight="false" outlineLevel="0" collapsed="false">
      <c r="K1440" s="0" t="s">
        <v>1437</v>
      </c>
      <c r="L1440" s="0" t="e">
        <f aca="false">_xlfn.NUMBERVALUE("1.5",".",".")</f>
        <v>#VALUE!</v>
      </c>
    </row>
    <row r="1441" customFormat="false" ht="12.8" hidden="false" customHeight="false" outlineLevel="0" collapsed="false">
      <c r="K1441" s="0" t="s">
        <v>1438</v>
      </c>
      <c r="L1441" s="0" t="n">
        <f aca="false">_xlfn.NUMBERVALUE(" 12 ")</f>
        <v>12</v>
      </c>
    </row>
    <row r="1442" customFormat="false" ht="12.8" hidden="false" customHeight="false" outlineLevel="0" collapsed="false">
      <c r="K1442" s="0" t="s">
        <v>1439</v>
      </c>
      <c r="L1442" s="0" t="str">
        <f aca="false">FIXED(1234.567,1)</f>
        <v>1,234.6</v>
      </c>
    </row>
    <row r="1443" customFormat="false" ht="12.8" hidden="false" customHeight="false" outlineLevel="0" collapsed="false">
      <c r="K1443" s="0" t="s">
        <v>1440</v>
      </c>
      <c r="L1443" s="0" t="str">
        <f aca="false">FIXED(1234.567,-1)</f>
        <v>1,230</v>
      </c>
    </row>
    <row r="1444" customFormat="false" ht="12.8" hidden="false" customHeight="false" outlineLevel="0" collapsed="false">
      <c r="K1444" s="0" t="s">
        <v>1441</v>
      </c>
      <c r="L1444" s="0" t="str">
        <f aca="false">FIXED(-1234.567,2,TRUE())</f>
        <v>-1234.57</v>
      </c>
    </row>
    <row r="1445" customFormat="false" ht="12.8" hidden="false" customHeight="false" outlineLevel="0" collapsed="false">
      <c r="K1445" s="0" t="s">
        <v>1442</v>
      </c>
      <c r="L1445" s="0" t="str">
        <f aca="false">FIXED(0.5,0)</f>
        <v>1</v>
      </c>
    </row>
    <row r="1446" customFormat="false" ht="12.8" hidden="false" customHeight="false" outlineLevel="0" collapsed="false">
      <c r="K1446" s="0" t="s">
        <v>1443</v>
      </c>
      <c r="L1446" s="0" t="str">
        <f aca="false">FIXED(1234567)</f>
        <v>1,234,567.00</v>
      </c>
    </row>
    <row r="1447" customFormat="false" ht="12.8" hidden="false" customHeight="false" outlineLevel="0" collapsed="false">
      <c r="K1447" s="0" t="s">
        <v>1444</v>
      </c>
      <c r="L1447" s="0" t="str">
        <f aca="false">FIXED(A1)</f>
        <v>1.00</v>
      </c>
    </row>
    <row r="1448" customFormat="false" ht="12.8" hidden="false" customHeight="false" outlineLevel="0" collapsed="false">
      <c r="K1448" s="0" t="s">
        <v>1445</v>
      </c>
      <c r="L1448" s="0" t="str">
        <f aca="false">_xlfn.TEXTJOIN(",",TRUE(),B1:B3)</f>
        <v>apple,banana,cherry</v>
      </c>
    </row>
    <row r="1449" customFormat="false" ht="12.8" hidden="false" customHeight="false" outlineLevel="0" collapsed="false">
      <c r="K1449" s="0" t="s">
        <v>1446</v>
      </c>
      <c r="L1449" s="0" t="str">
        <f aca="false">_xlfn.TEXTJOIN("-",FALSE(),A1:A3)</f>
        <v>1-2-3</v>
      </c>
    </row>
    <row r="1450" customFormat="false" ht="12.8" hidden="false" customHeight="false" outlineLevel="0" collapsed="false">
      <c r="K1450" s="0" t="s">
        <v>1447</v>
      </c>
      <c r="L1450" s="0" t="str">
        <f aca="false">_xlfn.TEXTJOIN(", ",TRUE(),"a","","b")</f>
        <v>a, b</v>
      </c>
    </row>
    <row r="1451" customFormat="false" ht="12.8" hidden="false" customHeight="false" outlineLevel="0" collapsed="false">
      <c r="K1451" s="0" t="s">
        <v>1448</v>
      </c>
      <c r="L1451" s="0" t="str">
        <f aca="false">_xlfn.TEXTJOIN(",",FALSE(),"a","","b")</f>
        <v>a,,b</v>
      </c>
    </row>
    <row r="1452" customFormat="false" ht="12.8" hidden="false" customHeight="false" outlineLevel="0" collapsed="false">
      <c r="K1452" s="0" t="s">
        <v>1449</v>
      </c>
      <c r="L1452" s="0" t="str">
        <f aca="false">_xlfn.TEXTJOIN("",TRUE(),B1:B2,"!")</f>
        <v>applebanana!</v>
      </c>
    </row>
    <row r="1453" customFormat="false" ht="12.8" hidden="false" customHeight="false" outlineLevel="0" collapsed="false">
      <c r="K1453" s="0" t="s">
        <v>1450</v>
      </c>
      <c r="L1453" s="0" t="e">
        <f aca="false">_xlfn.TEXTJOIN(",",TRUE(),H1,"a")</f>
        <v>#DIV/0!</v>
      </c>
    </row>
    <row r="1454" customFormat="false" ht="12.8" hidden="false" customHeight="false" outlineLevel="0" collapsed="false">
      <c r="K1454" s="0" t="s">
        <v>1451</v>
      </c>
      <c r="L1454" s="0" t="n">
        <f aca="false">DATEVALUE("2024-01-15")</f>
        <v>45306</v>
      </c>
    </row>
    <row r="1455" customFormat="false" ht="12.8" hidden="false" customHeight="false" outlineLevel="0" collapsed="false">
      <c r="K1455" s="0" t="s">
        <v>1452</v>
      </c>
      <c r="L1455" s="0" t="n">
        <f aca="false">DATEVALUE("1/15/2024")</f>
        <v>45306</v>
      </c>
    </row>
    <row r="1456" customFormat="false" ht="12.8" hidden="false" customHeight="false" outlineLevel="0" collapsed="false">
      <c r="K1456" s="0" t="s">
        <v>1453</v>
      </c>
      <c r="L1456" s="0" t="n">
        <f aca="false">DATEVALUE("2024-12-31")</f>
        <v>45657</v>
      </c>
    </row>
    <row r="1457" customFormat="false" ht="12.8" hidden="false" customHeight="false" outlineLevel="0" collapsed="false">
      <c r="K1457" s="0" t="s">
        <v>1454</v>
      </c>
      <c r="L1457" s="0" t="e">
        <f aca="false">DATEVALUE("abc")</f>
        <v>#VALUE!</v>
      </c>
    </row>
    <row r="1458" customFormat="false" ht="12.8" hidden="false" customHeight="false" outlineLevel="0" collapsed="false">
      <c r="K1458" s="0" t="s">
        <v>1455</v>
      </c>
      <c r="L1458" s="0" t="e">
        <f aca="false">DATEVALUE(5)</f>
        <v>#VALUE!</v>
      </c>
    </row>
    <row r="1459" customFormat="false" ht="12.8" hidden="false" customHeight="false" outlineLevel="0" collapsed="false">
      <c r="K1459" s="0" t="s">
        <v>1456</v>
      </c>
      <c r="L1459" s="0" t="n">
        <f aca="false">TIMEVALUE("12:00")</f>
        <v>0.5</v>
      </c>
    </row>
    <row r="1460" customFormat="false" ht="12.8" hidden="false" customHeight="false" outlineLevel="0" collapsed="false">
      <c r="K1460" s="0" t="s">
        <v>1457</v>
      </c>
      <c r="L1460" s="0" t="n">
        <f aca="false">TIMEVALUE("6:00 PM")</f>
        <v>0.75</v>
      </c>
    </row>
    <row r="1461" customFormat="false" ht="12.8" hidden="false" customHeight="false" outlineLevel="0" collapsed="false">
      <c r="K1461" s="0" t="s">
        <v>1458</v>
      </c>
      <c r="L1461" s="0" t="n">
        <f aca="false">TIMEVALUE("18:30:30")</f>
        <v>0.771180555555556</v>
      </c>
    </row>
    <row r="1462" customFormat="false" ht="12.8" hidden="false" customHeight="false" outlineLevel="0" collapsed="false">
      <c r="K1462" s="0" t="s">
        <v>1459</v>
      </c>
      <c r="L1462" s="0" t="e">
        <f aca="false">TIMEVALUE("xx")</f>
        <v>#VALUE!</v>
      </c>
    </row>
    <row r="1463" customFormat="false" ht="12.8" hidden="false" customHeight="false" outlineLevel="0" collapsed="false">
      <c r="K1463" s="0" t="s">
        <v>1460</v>
      </c>
      <c r="L1463" s="0" t="n">
        <f aca="false">TIMEVALUE("2024-01-15 06:00")</f>
        <v>0.25</v>
      </c>
    </row>
    <row r="1464" customFormat="false" ht="12.8" hidden="false" customHeight="false" outlineLevel="0" collapsed="false">
      <c r="K1464" s="0" t="s">
        <v>1461</v>
      </c>
      <c r="L1464" s="8" t="n">
        <f aca="false">TIME(12,0,0)</f>
        <v>0.5</v>
      </c>
    </row>
    <row r="1465" customFormat="false" ht="12.8" hidden="false" customHeight="false" outlineLevel="0" collapsed="false">
      <c r="K1465" s="0" t="s">
        <v>1462</v>
      </c>
      <c r="L1465" s="8" t="n">
        <f aca="false">TIME(25,0,0)</f>
        <v>0.0416666666666667</v>
      </c>
    </row>
    <row r="1466" customFormat="false" ht="12.8" hidden="false" customHeight="false" outlineLevel="0" collapsed="false">
      <c r="K1466" s="0" t="s">
        <v>1463</v>
      </c>
      <c r="L1466" s="8" t="n">
        <f aca="false">TIME(0,90,0)</f>
        <v>0.0625</v>
      </c>
    </row>
    <row r="1467" customFormat="false" ht="12.8" hidden="false" customHeight="false" outlineLevel="0" collapsed="false">
      <c r="K1467" s="0" t="s">
        <v>1464</v>
      </c>
      <c r="L1467" s="8" t="n">
        <f aca="false">TIME(1,2,3)</f>
        <v>0.0430902777777778</v>
      </c>
    </row>
    <row r="1468" customFormat="false" ht="12.8" hidden="false" customHeight="false" outlineLevel="0" collapsed="false">
      <c r="K1468" s="0" t="s">
        <v>1465</v>
      </c>
      <c r="L1468" s="8" t="e">
        <f aca="false">TIME(-1,0,0)</f>
        <v>#VALUE!</v>
      </c>
    </row>
    <row r="1469" customFormat="false" ht="12.8" hidden="false" customHeight="false" outlineLevel="0" collapsed="false">
      <c r="K1469" s="0" t="s">
        <v>1466</v>
      </c>
      <c r="L1469" s="0" t="n">
        <f aca="false">HOUR(E3)</f>
        <v>18</v>
      </c>
    </row>
    <row r="1470" customFormat="false" ht="12.8" hidden="false" customHeight="false" outlineLevel="0" collapsed="false">
      <c r="K1470" s="0" t="s">
        <v>1467</v>
      </c>
      <c r="L1470" s="0" t="n">
        <f aca="false">HOUR(0.5)</f>
        <v>12</v>
      </c>
    </row>
    <row r="1471" customFormat="false" ht="12.8" hidden="false" customHeight="false" outlineLevel="0" collapsed="false">
      <c r="K1471" s="0" t="s">
        <v>1468</v>
      </c>
      <c r="L1471" s="0" t="n">
        <f aca="false">HOUR("18:30")</f>
        <v>18</v>
      </c>
    </row>
    <row r="1472" customFormat="false" ht="12.8" hidden="false" customHeight="false" outlineLevel="0" collapsed="false">
      <c r="K1472" s="0" t="s">
        <v>1469</v>
      </c>
      <c r="L1472" s="0" t="n">
        <f aca="false">HOUR(-1)</f>
        <v>0</v>
      </c>
    </row>
    <row r="1473" customFormat="false" ht="12.8" hidden="false" customHeight="false" outlineLevel="0" collapsed="false">
      <c r="K1473" s="0" t="s">
        <v>1470</v>
      </c>
      <c r="L1473" s="0" t="n">
        <f aca="false">MINUTE(E3)</f>
        <v>0</v>
      </c>
    </row>
    <row r="1474" customFormat="false" ht="12.8" hidden="false" customHeight="false" outlineLevel="0" collapsed="false">
      <c r="K1474" s="0" t="s">
        <v>1471</v>
      </c>
      <c r="L1474" s="0" t="n">
        <f aca="false">MINUTE("18:30:45")</f>
        <v>30</v>
      </c>
    </row>
    <row r="1475" customFormat="false" ht="12.8" hidden="false" customHeight="false" outlineLevel="0" collapsed="false">
      <c r="K1475" s="0" t="s">
        <v>1472</v>
      </c>
      <c r="L1475" s="0" t="n">
        <f aca="false">MINUTE(0.7712)</f>
        <v>30</v>
      </c>
    </row>
    <row r="1476" customFormat="false" ht="12.8" hidden="false" customHeight="false" outlineLevel="0" collapsed="false">
      <c r="K1476" s="0" t="s">
        <v>1473</v>
      </c>
      <c r="L1476" s="0" t="n">
        <f aca="false">MINUTE(-1)</f>
        <v>0</v>
      </c>
    </row>
    <row r="1477" customFormat="false" ht="12.8" hidden="false" customHeight="false" outlineLevel="0" collapsed="false">
      <c r="K1477" s="0" t="s">
        <v>1474</v>
      </c>
      <c r="L1477" s="0" t="n">
        <f aca="false">SECOND("18:30:45")</f>
        <v>45</v>
      </c>
    </row>
    <row r="1478" customFormat="false" ht="12.8" hidden="false" customHeight="false" outlineLevel="0" collapsed="false">
      <c r="K1478" s="0" t="s">
        <v>1475</v>
      </c>
      <c r="L1478" s="0" t="n">
        <f aca="false">SECOND(0.5)</f>
        <v>0</v>
      </c>
    </row>
    <row r="1479" customFormat="false" ht="12.8" hidden="false" customHeight="false" outlineLevel="0" collapsed="false">
      <c r="K1479" s="0" t="s">
        <v>1476</v>
      </c>
      <c r="L1479" s="0" t="n">
        <f aca="false">SECOND(TIME(1,2,3))</f>
        <v>3</v>
      </c>
    </row>
    <row r="1480" customFormat="false" ht="12.8" hidden="false" customHeight="false" outlineLevel="0" collapsed="false">
      <c r="K1480" s="0" t="s">
        <v>1477</v>
      </c>
      <c r="L1480" s="0" t="n">
        <f aca="false">SECOND(-1)</f>
        <v>0</v>
      </c>
    </row>
    <row r="1481" customFormat="false" ht="12.8" hidden="false" customHeight="false" outlineLevel="0" collapsed="false">
      <c r="K1481" s="0" t="s">
        <v>1478</v>
      </c>
      <c r="L1481" s="0" t="n">
        <f aca="false">EDATE(E1,1)</f>
        <v>45337</v>
      </c>
    </row>
    <row r="1482" customFormat="false" ht="12.8" hidden="false" customHeight="false" outlineLevel="0" collapsed="false">
      <c r="K1482" s="0" t="s">
        <v>1479</v>
      </c>
      <c r="L1482" s="0" t="n">
        <f aca="false">EDATE(DATE(2024,1,31),1)</f>
        <v>45351</v>
      </c>
    </row>
    <row r="1483" customFormat="false" ht="12.8" hidden="false" customHeight="false" outlineLevel="0" collapsed="false">
      <c r="K1483" s="0" t="s">
        <v>1480</v>
      </c>
      <c r="L1483" s="0" t="n">
        <f aca="false">EDATE(E1,-1)</f>
        <v>45275</v>
      </c>
    </row>
    <row r="1484" customFormat="false" ht="12.8" hidden="false" customHeight="false" outlineLevel="0" collapsed="false">
      <c r="K1484" s="0" t="s">
        <v>1481</v>
      </c>
      <c r="L1484" s="0" t="n">
        <f aca="false">EDATE(E1,0)</f>
        <v>45306</v>
      </c>
    </row>
    <row r="1485" customFormat="false" ht="12.8" hidden="false" customHeight="false" outlineLevel="0" collapsed="false">
      <c r="K1485" s="0" t="s">
        <v>1482</v>
      </c>
      <c r="L1485" s="0" t="n">
        <f aca="false">EDATE(E1,12)</f>
        <v>45672</v>
      </c>
    </row>
    <row r="1486" customFormat="false" ht="12.8" hidden="false" customHeight="false" outlineLevel="0" collapsed="false">
      <c r="K1486" s="0" t="s">
        <v>1483</v>
      </c>
      <c r="L1486" s="0" t="n">
        <f aca="false">EOMONTH(E1,0)</f>
        <v>45322</v>
      </c>
    </row>
    <row r="1487" customFormat="false" ht="12.8" hidden="false" customHeight="false" outlineLevel="0" collapsed="false">
      <c r="K1487" s="0" t="s">
        <v>1484</v>
      </c>
      <c r="L1487" s="0" t="n">
        <f aca="false">EOMONTH(E1,1)</f>
        <v>45351</v>
      </c>
    </row>
    <row r="1488" customFormat="false" ht="12.8" hidden="false" customHeight="false" outlineLevel="0" collapsed="false">
      <c r="K1488" s="0" t="s">
        <v>1485</v>
      </c>
      <c r="L1488" s="0" t="n">
        <f aca="false">EOMONTH(E1,-1)</f>
        <v>45291</v>
      </c>
    </row>
    <row r="1489" customFormat="false" ht="12.8" hidden="false" customHeight="false" outlineLevel="0" collapsed="false">
      <c r="K1489" s="0" t="s">
        <v>1486</v>
      </c>
      <c r="L1489" s="0" t="n">
        <f aca="false">EOMONTH(E2,2)</f>
        <v>45716</v>
      </c>
    </row>
    <row r="1490" customFormat="false" ht="12.8" hidden="false" customHeight="false" outlineLevel="0" collapsed="false">
      <c r="K1490" s="0" t="s">
        <v>1487</v>
      </c>
      <c r="L1490" s="0" t="n">
        <f aca="false">NETWORKDAYS(DATE(2024,1,1),DATE(2024,1,31))</f>
        <v>23</v>
      </c>
    </row>
    <row r="1491" customFormat="false" ht="12.8" hidden="false" customHeight="false" outlineLevel="0" collapsed="false">
      <c r="K1491" s="0" t="s">
        <v>1488</v>
      </c>
      <c r="L1491" s="0" t="n">
        <f aca="false">NETWORKDAYS(E1,E2)</f>
        <v>252</v>
      </c>
    </row>
    <row r="1492" customFormat="false" ht="12.8" hidden="false" customHeight="false" outlineLevel="0" collapsed="false">
      <c r="K1492" s="0" t="s">
        <v>1489</v>
      </c>
      <c r="L1492" s="0" t="n">
        <f aca="false">NETWORKDAYS(DATE(2024,1,1),DATE(2024,1,31),DATE(2024,1,15))</f>
        <v>22</v>
      </c>
    </row>
    <row r="1493" customFormat="false" ht="12.8" hidden="false" customHeight="false" outlineLevel="0" collapsed="false">
      <c r="K1493" s="0" t="s">
        <v>1490</v>
      </c>
      <c r="L1493" s="0" t="n">
        <f aca="false">NETWORKDAYS(DATE(2024,1,31),DATE(2024,1,1))</f>
        <v>-23</v>
      </c>
    </row>
    <row r="1494" customFormat="false" ht="12.8" hidden="false" customHeight="false" outlineLevel="0" collapsed="false">
      <c r="K1494" s="0" t="s">
        <v>1491</v>
      </c>
      <c r="L1494" s="0" t="n">
        <f aca="false">NETWORKDAYS(E1,E1)</f>
        <v>1</v>
      </c>
    </row>
    <row r="1495" customFormat="false" ht="12.8" hidden="false" customHeight="false" outlineLevel="0" collapsed="false">
      <c r="K1495" s="0" t="s">
        <v>1492</v>
      </c>
      <c r="L1495" s="0" t="n">
        <f aca="false">NETWORKDAYS.INTL(DATE(2024,1,1),DATE(2024,1,31),11)</f>
        <v>27</v>
      </c>
    </row>
    <row r="1496" customFormat="false" ht="12.8" hidden="false" customHeight="false" outlineLevel="0" collapsed="false">
      <c r="K1496" s="0" t="s">
        <v>1493</v>
      </c>
      <c r="L1496" s="0" t="n">
        <f aca="false">NETWORKDAYS.INTL(DATE(2024,1,1),DATE(2024,1,31),"0000011")</f>
        <v>23</v>
      </c>
    </row>
    <row r="1497" customFormat="false" ht="12.8" hidden="false" customHeight="false" outlineLevel="0" collapsed="false">
      <c r="K1497" s="0" t="s">
        <v>1494</v>
      </c>
      <c r="L1497" s="0" t="n">
        <f aca="false">NETWORKDAYS.INTL(DATE(2024,1,1),DATE(2024,1,31),2)</f>
        <v>22</v>
      </c>
    </row>
    <row r="1498" customFormat="false" ht="12.8" hidden="false" customHeight="false" outlineLevel="0" collapsed="false">
      <c r="K1498" s="0" t="s">
        <v>1495</v>
      </c>
      <c r="L1498" s="0" t="n">
        <f aca="false">NETWORKDAYS.INTL(DATE(2024,1,1),DATE(2024,1,31),1,DATE(2024,1,15))</f>
        <v>22</v>
      </c>
    </row>
    <row r="1499" customFormat="false" ht="12.8" hidden="false" customHeight="false" outlineLevel="0" collapsed="false">
      <c r="K1499" s="0" t="s">
        <v>1496</v>
      </c>
      <c r="L1499" s="0" t="e">
        <f aca="false">NETWORKDAYS.INTL(DATE(2024,1,1),DATE(2024,1,31),99)</f>
        <v>#VALUE!</v>
      </c>
    </row>
    <row r="1500" customFormat="false" ht="12.8" hidden="false" customHeight="false" outlineLevel="0" collapsed="false">
      <c r="K1500" s="0" t="s">
        <v>1497</v>
      </c>
      <c r="L1500" s="0" t="n">
        <f aca="false">WORKDAY(E1,1)</f>
        <v>45307</v>
      </c>
    </row>
    <row r="1501" customFormat="false" ht="12.8" hidden="false" customHeight="false" outlineLevel="0" collapsed="false">
      <c r="K1501" s="0" t="s">
        <v>1498</v>
      </c>
      <c r="L1501" s="0" t="n">
        <f aca="false">WORKDAY(DATE(2024,1,19),1)</f>
        <v>45313</v>
      </c>
    </row>
    <row r="1502" customFormat="false" ht="12.8" hidden="false" customHeight="false" outlineLevel="0" collapsed="false">
      <c r="K1502" s="0" t="s">
        <v>1499</v>
      </c>
      <c r="L1502" s="0" t="n">
        <f aca="false">WORKDAY(E1,-1)</f>
        <v>45303</v>
      </c>
    </row>
    <row r="1503" customFormat="false" ht="12.8" hidden="false" customHeight="false" outlineLevel="0" collapsed="false">
      <c r="K1503" s="0" t="s">
        <v>1500</v>
      </c>
      <c r="L1503" s="0" t="n">
        <f aca="false">WORKDAY(E1,5,E1+1)</f>
        <v>45314</v>
      </c>
    </row>
    <row r="1504" customFormat="false" ht="12.8" hidden="false" customHeight="false" outlineLevel="0" collapsed="false">
      <c r="K1504" s="0" t="s">
        <v>1501</v>
      </c>
      <c r="L1504" s="0" t="n">
        <f aca="false">WORKDAY(E1,0)</f>
        <v>45306</v>
      </c>
    </row>
    <row r="1505" customFormat="false" ht="12.8" hidden="false" customHeight="false" outlineLevel="0" collapsed="false">
      <c r="K1505" s="0" t="s">
        <v>1502</v>
      </c>
      <c r="L1505" s="2" t="n">
        <f aca="false">WORKDAY.INTL(E1,1,11)</f>
        <v>45307</v>
      </c>
    </row>
    <row r="1506" customFormat="false" ht="12.8" hidden="false" customHeight="false" outlineLevel="0" collapsed="false">
      <c r="K1506" s="0" t="s">
        <v>1503</v>
      </c>
      <c r="L1506" s="3" t="n">
        <f aca="false">WORKDAY.INTL(DATE(2024,1,20),1,11)</f>
        <v>45313</v>
      </c>
    </row>
    <row r="1507" customFormat="false" ht="12.8" hidden="false" customHeight="false" outlineLevel="0" collapsed="false">
      <c r="K1507" s="0" t="s">
        <v>1504</v>
      </c>
      <c r="L1507" s="2" t="n">
        <f aca="false">WORKDAY.INTL(E1,5,"0000011")</f>
        <v>45313</v>
      </c>
    </row>
    <row r="1508" customFormat="false" ht="12.8" hidden="false" customHeight="false" outlineLevel="0" collapsed="false">
      <c r="K1508" s="0" t="s">
        <v>1505</v>
      </c>
      <c r="L1508" s="2" t="n">
        <f aca="false">WORKDAY.INTL(E1,-2,2)</f>
        <v>45303</v>
      </c>
    </row>
    <row r="1509" customFormat="false" ht="12.8" hidden="false" customHeight="false" outlineLevel="0" collapsed="false">
      <c r="K1509" s="0" t="s">
        <v>1506</v>
      </c>
      <c r="L1509" s="0" t="n">
        <f aca="false">DATEDIF(DATE(2020,1,15),E1,"Y")</f>
        <v>4</v>
      </c>
    </row>
    <row r="1510" customFormat="false" ht="12.8" hidden="false" customHeight="false" outlineLevel="0" collapsed="false">
      <c r="K1510" s="0" t="s">
        <v>1507</v>
      </c>
      <c r="L1510" s="0" t="n">
        <f aca="false">DATEDIF(DATE(2020,1,15),E1,"M")</f>
        <v>48</v>
      </c>
    </row>
    <row r="1511" customFormat="false" ht="12.8" hidden="false" customHeight="false" outlineLevel="0" collapsed="false">
      <c r="K1511" s="0" t="s">
        <v>1508</v>
      </c>
      <c r="L1511" s="0" t="n">
        <f aca="false">DATEDIF(DATE(2020,1,15),E1,"D")</f>
        <v>1461</v>
      </c>
    </row>
    <row r="1512" customFormat="false" ht="12.8" hidden="false" customHeight="false" outlineLevel="0" collapsed="false">
      <c r="K1512" s="0" t="s">
        <v>1509</v>
      </c>
      <c r="L1512" s="0" t="n">
        <f aca="false">DATEDIF(DATE(2024,1,10),DATE(2024,3,15),"MD")</f>
        <v>5</v>
      </c>
    </row>
    <row r="1513" customFormat="false" ht="12.8" hidden="false" customHeight="false" outlineLevel="0" collapsed="false">
      <c r="K1513" s="0" t="s">
        <v>1510</v>
      </c>
      <c r="L1513" s="0" t="n">
        <f aca="false">DATEDIF(DATE(2023,6,20),E1,"YM")</f>
        <v>6</v>
      </c>
    </row>
    <row r="1514" customFormat="false" ht="12.8" hidden="false" customHeight="false" outlineLevel="0" collapsed="false">
      <c r="K1514" s="0" t="s">
        <v>1511</v>
      </c>
      <c r="L1514" s="0" t="n">
        <f aca="false">DATEDIF(DATE(2023,6,20),E1,"YD")</f>
        <v>209</v>
      </c>
    </row>
    <row r="1515" customFormat="false" ht="12.8" hidden="false" customHeight="false" outlineLevel="0" collapsed="false">
      <c r="K1515" s="0" t="s">
        <v>1512</v>
      </c>
      <c r="L1515" s="0" t="e">
        <f aca="false">DATEDIF(E1,DATE(2020,1,15),"Y")</f>
        <v>#VALUE!</v>
      </c>
    </row>
    <row r="1516" customFormat="false" ht="12.8" hidden="false" customHeight="false" outlineLevel="0" collapsed="false">
      <c r="K1516" s="0" t="s">
        <v>1513</v>
      </c>
      <c r="L1516" s="0" t="e">
        <f aca="false">DATEDIF(E1,E2,"X")</f>
        <v>#VALUE!</v>
      </c>
    </row>
    <row r="1517" customFormat="false" ht="12.8" hidden="false" customHeight="false" outlineLevel="0" collapsed="false">
      <c r="K1517" s="0" t="s">
        <v>1514</v>
      </c>
      <c r="L1517" s="0" t="n">
        <f aca="false">YEARFRAC(DATE(2024,1,1),DATE(2024,7,1))</f>
        <v>0.5</v>
      </c>
    </row>
    <row r="1518" customFormat="false" ht="12.8" hidden="false" customHeight="false" outlineLevel="0" collapsed="false">
      <c r="K1518" s="0" t="s">
        <v>1515</v>
      </c>
      <c r="L1518" s="0" t="n">
        <f aca="false">YEARFRAC(DATE(2023,1,1),DATE(2023,7,1),1)</f>
        <v>0.495890410958904</v>
      </c>
    </row>
    <row r="1519" customFormat="false" ht="12.8" hidden="false" customHeight="false" outlineLevel="0" collapsed="false">
      <c r="K1519" s="0" t="s">
        <v>1516</v>
      </c>
      <c r="L1519" s="0" t="n">
        <f aca="false">YEARFRAC(DATE(2023,1,1),DATE(2023,7,1),2)</f>
        <v>0.502777777777778</v>
      </c>
    </row>
    <row r="1520" customFormat="false" ht="12.8" hidden="false" customHeight="false" outlineLevel="0" collapsed="false">
      <c r="K1520" s="0" t="s">
        <v>1517</v>
      </c>
      <c r="L1520" s="0" t="n">
        <f aca="false">YEARFRAC(DATE(2023,1,1),DATE(2023,7,1),3)</f>
        <v>0.495890410958904</v>
      </c>
    </row>
    <row r="1521" customFormat="false" ht="12.8" hidden="false" customHeight="false" outlineLevel="0" collapsed="false">
      <c r="K1521" s="0" t="s">
        <v>1518</v>
      </c>
      <c r="L1521" s="0" t="n">
        <f aca="false">YEARFRAC(DATE(2023,1,1),DATE(2023,7,1),4)</f>
        <v>0.5</v>
      </c>
    </row>
    <row r="1522" customFormat="false" ht="12.8" hidden="false" customHeight="false" outlineLevel="0" collapsed="false">
      <c r="K1522" s="0" t="s">
        <v>1519</v>
      </c>
      <c r="L1522" s="0" t="n">
        <f aca="false">YEARFRAC(E1,E2)</f>
        <v>0.961111111111111</v>
      </c>
    </row>
    <row r="1523" customFormat="false" ht="12.8" hidden="false" customHeight="false" outlineLevel="0" collapsed="false">
      <c r="K1523" s="0" t="s">
        <v>1520</v>
      </c>
      <c r="L1523" s="0" t="n">
        <f aca="false">YEARFRAC(DATE(2020,1,1),DATE(2024,1,1),1)</f>
        <v>3.99835796387521</v>
      </c>
    </row>
    <row r="1524" customFormat="false" ht="12.8" hidden="false" customHeight="false" outlineLevel="0" collapsed="false">
      <c r="K1524" s="0" t="s">
        <v>1521</v>
      </c>
      <c r="L1524" s="0" t="n">
        <f aca="false">YEARFRAC(E2,E1)</f>
        <v>0.961111111111111</v>
      </c>
    </row>
    <row r="1525" customFormat="false" ht="12.8" hidden="false" customHeight="false" outlineLevel="0" collapsed="false">
      <c r="K1525" s="0" t="s">
        <v>1522</v>
      </c>
      <c r="L1525" s="0" t="e">
        <f aca="false">YEARFRAC(E1,E2,5)</f>
        <v>#VALUE!</v>
      </c>
    </row>
    <row r="1526" customFormat="false" ht="12.8" hidden="false" customHeight="false" outlineLevel="0" collapsed="false">
      <c r="K1526" s="0" t="s">
        <v>1523</v>
      </c>
      <c r="L1526" s="0" t="n">
        <f aca="false">WEEKNUM(E1,1)</f>
        <v>3</v>
      </c>
    </row>
    <row r="1527" customFormat="false" ht="12.8" hidden="false" customHeight="false" outlineLevel="0" collapsed="false">
      <c r="K1527" s="0" t="s">
        <v>1524</v>
      </c>
      <c r="L1527" s="0" t="n">
        <f aca="false">WEEKNUM(E1,2)</f>
        <v>3</v>
      </c>
    </row>
    <row r="1528" customFormat="false" ht="12.8" hidden="false" customHeight="false" outlineLevel="0" collapsed="false">
      <c r="K1528" s="0" t="s">
        <v>1525</v>
      </c>
      <c r="L1528" s="0" t="n">
        <f aca="false">WEEKNUM(E2,1)</f>
        <v>1</v>
      </c>
    </row>
    <row r="1529" customFormat="false" ht="12.8" hidden="false" customHeight="false" outlineLevel="0" collapsed="false">
      <c r="K1529" s="0" t="s">
        <v>1526</v>
      </c>
      <c r="L1529" s="0" t="n">
        <f aca="false">WEEKNUM(E2,21)</f>
        <v>1</v>
      </c>
    </row>
    <row r="1530" customFormat="false" ht="12.8" hidden="false" customHeight="false" outlineLevel="0" collapsed="false">
      <c r="K1530" s="0" t="s">
        <v>1527</v>
      </c>
      <c r="L1530" s="0" t="n">
        <f aca="false">WEEKNUM(DATE(2024,1,1),21)</f>
        <v>1</v>
      </c>
    </row>
    <row r="1531" customFormat="false" ht="12.8" hidden="false" customHeight="false" outlineLevel="0" collapsed="false">
      <c r="K1531" s="0" t="s">
        <v>1528</v>
      </c>
      <c r="L1531" s="0" t="e">
        <f aca="false">WEEKNUM(E1,3)</f>
        <v>#VALUE!</v>
      </c>
    </row>
    <row r="1532" customFormat="false" ht="12.8" hidden="false" customHeight="false" outlineLevel="0" collapsed="false">
      <c r="K1532" s="0" t="s">
        <v>1529</v>
      </c>
      <c r="L1532" s="0" t="n">
        <f aca="false">_xlfn.ISOWEEKNUM(E1)</f>
        <v>3</v>
      </c>
    </row>
    <row r="1533" customFormat="false" ht="12.8" hidden="false" customHeight="false" outlineLevel="0" collapsed="false">
      <c r="K1533" s="0" t="s">
        <v>1530</v>
      </c>
      <c r="L1533" s="0" t="n">
        <f aca="false">_xlfn.ISOWEEKNUM(E2)</f>
        <v>1</v>
      </c>
    </row>
    <row r="1534" customFormat="false" ht="12.8" hidden="false" customHeight="false" outlineLevel="0" collapsed="false">
      <c r="K1534" s="0" t="s">
        <v>1531</v>
      </c>
      <c r="L1534" s="0" t="n">
        <f aca="false">_xlfn.ISOWEEKNUM(DATE(2021,1,3))</f>
        <v>53</v>
      </c>
    </row>
    <row r="1535" customFormat="false" ht="12.8" hidden="false" customHeight="false" outlineLevel="0" collapsed="false">
      <c r="K1535" s="0" t="s">
        <v>1532</v>
      </c>
      <c r="L1535" s="0" t="n">
        <f aca="false">_xlfn.ISOWEEKNUM(DATE(2020,12,31))</f>
        <v>53</v>
      </c>
    </row>
    <row r="1536" customFormat="false" ht="12.8" hidden="false" customHeight="false" outlineLevel="0" collapsed="false">
      <c r="K1536" s="0" t="s">
        <v>1533</v>
      </c>
      <c r="L1536" s="0" t="n">
        <f aca="false">_xlfn.ISOWEEKNUM(DATE(2016,1,1))</f>
        <v>53</v>
      </c>
    </row>
    <row r="1537" customFormat="false" ht="12.8" hidden="false" customHeight="false" outlineLevel="0" collapsed="false">
      <c r="K1537" s="0" t="s">
        <v>1534</v>
      </c>
      <c r="L1537" s="0" t="n">
        <f aca="false">ROWS(A1:A6)</f>
        <v>6</v>
      </c>
    </row>
    <row r="1538" customFormat="false" ht="12.8" hidden="false" customHeight="false" outlineLevel="0" collapsed="false">
      <c r="K1538" s="0" t="s">
        <v>1535</v>
      </c>
      <c r="L1538" s="0" t="n">
        <f aca="false">ROWS(A1:C3)</f>
        <v>3</v>
      </c>
    </row>
    <row r="1539" customFormat="false" ht="12.8" hidden="false" customHeight="false" outlineLevel="0" collapsed="false">
      <c r="K1539" s="0" t="s">
        <v>1536</v>
      </c>
      <c r="L1539" s="0" t="n">
        <f aca="false">ROWS(A:A)</f>
        <v>1048576</v>
      </c>
    </row>
    <row r="1540" customFormat="false" ht="12.8" hidden="false" customHeight="false" outlineLevel="0" collapsed="false">
      <c r="K1540" s="0" t="s">
        <v>1537</v>
      </c>
      <c r="L1540" s="0" t="n">
        <f aca="false">ROWS({1,2;3,4})</f>
        <v>2</v>
      </c>
    </row>
    <row r="1541" customFormat="false" ht="12.8" hidden="false" customHeight="false" outlineLevel="0" collapsed="false">
      <c r="K1541" s="0" t="s">
        <v>1538</v>
      </c>
      <c r="L1541" s="0" t="n">
        <f aca="false">COLUMNS(A1:C3)</f>
        <v>3</v>
      </c>
    </row>
    <row r="1542" customFormat="false" ht="12.8" hidden="false" customHeight="false" outlineLevel="0" collapsed="false">
      <c r="K1542" s="0" t="s">
        <v>1539</v>
      </c>
      <c r="L1542" s="0" t="n">
        <f aca="false">COLUMNS(A:C)</f>
        <v>3</v>
      </c>
    </row>
    <row r="1543" customFormat="false" ht="12.8" hidden="false" customHeight="false" outlineLevel="0" collapsed="false">
      <c r="K1543" s="0" t="s">
        <v>1540</v>
      </c>
      <c r="L1543" s="0" t="n">
        <f aca="false">COLUMNS(1:1)</f>
        <v>16384</v>
      </c>
    </row>
    <row r="1544" customFormat="false" ht="12.8" hidden="false" customHeight="false" outlineLevel="0" collapsed="false">
      <c r="K1544" s="0" t="s">
        <v>1541</v>
      </c>
      <c r="L1544" s="0" t="n">
        <f aca="false">COLUMNS({1,2;3,4})</f>
        <v>2</v>
      </c>
    </row>
    <row r="1545" customFormat="false" ht="12.8" hidden="false" customHeight="false" outlineLevel="0" collapsed="false">
      <c r="K1545" s="0" t="s">
        <v>1542</v>
      </c>
      <c r="L1545" s="0" t="str">
        <f aca="false">LOOKUP(3,A1:A6,B1:B6)</f>
        <v>cherry</v>
      </c>
    </row>
    <row r="1546" customFormat="false" ht="12.8" hidden="false" customHeight="false" outlineLevel="0" collapsed="false">
      <c r="K1546" s="0" t="s">
        <v>1543</v>
      </c>
      <c r="L1546" s="0" t="str">
        <f aca="false">LOOKUP(3.5,A1:A6,B1:B6)</f>
        <v>cherry</v>
      </c>
    </row>
    <row r="1547" customFormat="false" ht="12.8" hidden="false" customHeight="false" outlineLevel="0" collapsed="false">
      <c r="K1547" s="0" t="s">
        <v>1544</v>
      </c>
      <c r="L1547" s="0" t="e">
        <f aca="false">LOOKUP(0,A1:A6,B1:B6)</f>
        <v>#N/A</v>
      </c>
    </row>
    <row r="1548" customFormat="false" ht="12.8" hidden="false" customHeight="false" outlineLevel="0" collapsed="false">
      <c r="K1548" s="0" t="s">
        <v>1545</v>
      </c>
      <c r="L1548" s="0" t="str">
        <f aca="false">LOOKUP(100,A1:A6,B1:B6)</f>
        <v>fig</v>
      </c>
    </row>
    <row r="1549" customFormat="false" ht="12.8" hidden="false" customHeight="false" outlineLevel="0" collapsed="false">
      <c r="K1549" s="0" t="s">
        <v>1546</v>
      </c>
      <c r="L1549" s="0" t="str">
        <f aca="false">LOOKUP(2,A1:B6)</f>
        <v>banana</v>
      </c>
    </row>
    <row r="1550" customFormat="false" ht="12.8" hidden="false" customHeight="false" outlineLevel="0" collapsed="false">
      <c r="K1550" s="0" t="s">
        <v>1547</v>
      </c>
      <c r="L1550" s="0" t="n">
        <f aca="false">_xlfn.XMATCH(3,A1:A6)</f>
        <v>3</v>
      </c>
    </row>
    <row r="1551" customFormat="false" ht="12.8" hidden="false" customHeight="false" outlineLevel="0" collapsed="false">
      <c r="K1551" s="0" t="s">
        <v>1548</v>
      </c>
      <c r="L1551" s="0" t="n">
        <f aca="false">_xlfn.XMATCH("cherry",B1:B6)</f>
        <v>3</v>
      </c>
    </row>
    <row r="1552" customFormat="false" ht="12.8" hidden="false" customHeight="false" outlineLevel="0" collapsed="false">
      <c r="K1552" s="0" t="s">
        <v>1549</v>
      </c>
      <c r="L1552" s="0" t="n">
        <f aca="false">_xlfn.XMATCH(3.5,A1:A6,-1)</f>
        <v>3</v>
      </c>
    </row>
    <row r="1553" customFormat="false" ht="12.8" hidden="false" customHeight="false" outlineLevel="0" collapsed="false">
      <c r="K1553" s="0" t="s">
        <v>1550</v>
      </c>
      <c r="L1553" s="0" t="n">
        <f aca="false">_xlfn.XMATCH(3.5,A1:A6,1)</f>
        <v>4</v>
      </c>
    </row>
    <row r="1554" customFormat="false" ht="12.8" hidden="false" customHeight="false" outlineLevel="0" collapsed="false">
      <c r="K1554" s="0" t="s">
        <v>1551</v>
      </c>
      <c r="L1554" s="0" t="n">
        <f aca="false">_xlfn.XMATCH("ch*",B1:B6,2)</f>
        <v>3</v>
      </c>
    </row>
    <row r="1555" customFormat="false" ht="12.8" hidden="false" customHeight="false" outlineLevel="0" collapsed="false">
      <c r="K1555" s="0" t="s">
        <v>1552</v>
      </c>
      <c r="L1555" s="0" t="e">
        <f aca="false">_xlfn.XMATCH(9,A1:A6)</f>
        <v>#N/A</v>
      </c>
    </row>
    <row r="1556" customFormat="false" ht="12.8" hidden="false" customHeight="false" outlineLevel="0" collapsed="false">
      <c r="K1556" s="0" t="s">
        <v>1553</v>
      </c>
      <c r="L1556" s="0" t="n">
        <f aca="false">_xlfn.XMATCH(3,A1:A6,0,-1)</f>
        <v>3</v>
      </c>
    </row>
    <row r="1557" customFormat="false" ht="12.8" hidden="false" customHeight="false" outlineLevel="0" collapsed="false">
      <c r="K1557" s="0" t="s">
        <v>1554</v>
      </c>
      <c r="L1557" s="0" t="e">
        <f aca="false">_xlfn.XMATCH(3,A1:C6)</f>
        <v>#VALUE!</v>
      </c>
    </row>
    <row r="1558" customFormat="false" ht="12.8" hidden="false" customHeight="false" outlineLevel="0" collapsed="false">
      <c r="K1558" s="0" t="s">
        <v>1555</v>
      </c>
      <c r="L1558" s="0" t="str">
        <f aca="false">_xlfn.XLOOKUP(3,A1:A6,B1:B6)</f>
        <v>cherry</v>
      </c>
    </row>
    <row r="1559" customFormat="false" ht="12.8" hidden="false" customHeight="false" outlineLevel="0" collapsed="false">
      <c r="K1559" s="0" t="s">
        <v>1556</v>
      </c>
      <c r="L1559" s="0" t="str">
        <f aca="false">_xlfn.XLOOKUP(9,A1:A6,B1:B6,"none")</f>
        <v>none</v>
      </c>
    </row>
    <row r="1560" customFormat="false" ht="12.8" hidden="false" customHeight="false" outlineLevel="0" collapsed="false">
      <c r="K1560" s="0" t="s">
        <v>1557</v>
      </c>
      <c r="L1560" s="0" t="e">
        <f aca="false">_xlfn.XLOOKUP(9,A1:A6,B1:B6)</f>
        <v>#N/A</v>
      </c>
    </row>
    <row r="1561" customFormat="false" ht="12.8" hidden="false" customHeight="false" outlineLevel="0" collapsed="false">
      <c r="K1561" s="0" t="s">
        <v>1558</v>
      </c>
      <c r="L1561" s="0" t="str">
        <f aca="false">_xlfn.XLOOKUP(3.5,A1:A6,B1:B6,,-1)</f>
        <v>cherry</v>
      </c>
    </row>
    <row r="1562" customFormat="false" ht="12.8" hidden="false" customHeight="false" outlineLevel="0" collapsed="false">
      <c r="K1562" s="0" t="s">
        <v>1559</v>
      </c>
      <c r="L1562" s="0" t="n">
        <f aca="false">_xlfn.XLOOKUP("fig",B1:B6,A1:A6)</f>
        <v>6</v>
      </c>
    </row>
    <row r="1563" customFormat="false" ht="12.8" hidden="false" customHeight="false" outlineLevel="0" collapsed="false">
      <c r="K1563" s="0" t="s">
        <v>1560</v>
      </c>
      <c r="L1563" s="0" t="n">
        <f aca="false">_xlfn.XLOOKUP(4,A1:A6,C1:C6)</f>
        <v>100</v>
      </c>
    </row>
    <row r="1564" customFormat="false" ht="12.8" hidden="false" customHeight="false" outlineLevel="0" collapsed="false">
      <c r="K1564" s="0" t="s">
        <v>1561</v>
      </c>
      <c r="L1564" s="0" t="e">
        <f aca="false">_xlfn.XLOOKUP(3,A1:A6,B1:B5)</f>
        <v>#VALUE!</v>
      </c>
    </row>
    <row r="1565" customFormat="false" ht="12.8" hidden="false" customHeight="false" outlineLevel="0" collapsed="false">
      <c r="K1565" s="0" t="s">
        <v>1562</v>
      </c>
      <c r="L1565" s="0" t="n">
        <f aca="false">SUM(A1:_xlfn.XLOOKUP(3,A1:A6,A1:A6))</f>
        <v>6</v>
      </c>
    </row>
    <row r="1566" customFormat="false" ht="12.8" hidden="false" customHeight="false" outlineLevel="0" collapsed="false">
      <c r="K1566" s="0" t="s">
        <v>1563</v>
      </c>
      <c r="L1566" s="0" t="n">
        <f aca="true">INDIRECT("A1")</f>
        <v>1</v>
      </c>
    </row>
    <row r="1567" customFormat="false" ht="12.8" hidden="false" customHeight="false" outlineLevel="0" collapsed="false">
      <c r="K1567" s="0" t="s">
        <v>1564</v>
      </c>
      <c r="L1567" s="0" t="n">
        <f aca="true">INDIRECT("A"&amp;3)</f>
        <v>3</v>
      </c>
    </row>
    <row r="1568" customFormat="false" ht="12.8" hidden="false" customHeight="false" outlineLevel="0" collapsed="false">
      <c r="K1568" s="0" t="s">
        <v>1565</v>
      </c>
      <c r="L1568" s="0" t="n">
        <f aca="true">SUM(INDIRECT("A1:A3"))</f>
        <v>6</v>
      </c>
    </row>
    <row r="1569" customFormat="false" ht="12.8" hidden="false" customHeight="false" outlineLevel="0" collapsed="false">
      <c r="K1569" s="0" t="s">
        <v>1566</v>
      </c>
      <c r="L1569" s="0" t="n">
        <f aca="true">INDIRECT("Other!A1")</f>
        <v>7</v>
      </c>
    </row>
    <row r="1570" customFormat="false" ht="12.8" hidden="false" customHeight="false" outlineLevel="0" collapsed="false">
      <c r="K1570" s="0" t="s">
        <v>1567</v>
      </c>
      <c r="L1570" s="0" t="n">
        <f aca="true">INDIRECT("R2C1",FALSE())</f>
        <v>2</v>
      </c>
    </row>
    <row r="1571" customFormat="false" ht="12.8" hidden="false" customHeight="false" outlineLevel="0" collapsed="false">
      <c r="K1571" s="0" t="s">
        <v>1568</v>
      </c>
      <c r="L1571" s="0" t="e">
        <f aca="true">INDIRECT("zzz")</f>
        <v>#REF!</v>
      </c>
    </row>
    <row r="1572" customFormat="false" ht="12.8" hidden="false" customHeight="false" outlineLevel="0" collapsed="false">
      <c r="K1572" s="0" t="s">
        <v>1569</v>
      </c>
      <c r="L1572" s="0" t="e">
        <f aca="true">INDIRECT(B1)</f>
        <v>#REF!</v>
      </c>
    </row>
    <row r="1573" customFormat="false" ht="12.8" hidden="false" customHeight="false" outlineLevel="0" collapsed="false">
      <c r="K1573" s="0" t="s">
        <v>1570</v>
      </c>
      <c r="L1573" s="0" t="str">
        <f aca="true">OFFSET(A1,2,1)</f>
        <v>cherry</v>
      </c>
    </row>
    <row r="1574" customFormat="false" ht="12.8" hidden="false" customHeight="false" outlineLevel="0" collapsed="false">
      <c r="K1574" s="0" t="s">
        <v>1571</v>
      </c>
      <c r="L1574" s="0" t="n">
        <f aca="true">SUM(OFFSET(A1,0,0,3,1))</f>
        <v>6</v>
      </c>
    </row>
    <row r="1575" customFormat="false" ht="12.8" hidden="false" customHeight="false" outlineLevel="0" collapsed="false">
      <c r="K1575" s="0" t="s">
        <v>1572</v>
      </c>
      <c r="L1575" s="0" t="e">
        <f aca="true">OFFSET(A1,-1,0)</f>
        <v>#VALUE!</v>
      </c>
    </row>
    <row r="1576" customFormat="false" ht="12.8" hidden="false" customHeight="false" outlineLevel="0" collapsed="false">
      <c r="K1576" s="0" t="s">
        <v>1573</v>
      </c>
      <c r="L1576" s="0" t="n">
        <f aca="true">SUM(OFFSET(A1:A2,1,0))</f>
        <v>5</v>
      </c>
    </row>
    <row r="1577" customFormat="false" ht="12.8" hidden="false" customHeight="false" outlineLevel="0" collapsed="false">
      <c r="K1577" s="0" t="s">
        <v>1574</v>
      </c>
      <c r="L1577" s="0" t="n">
        <f aca="true">ROWS(OFFSET(A1,0,0,3,2))</f>
        <v>3</v>
      </c>
    </row>
    <row r="1578" customFormat="false" ht="12.8" hidden="false" customHeight="false" outlineLevel="0" collapsed="false">
      <c r="K1578" s="0" t="s">
        <v>1575</v>
      </c>
      <c r="L1578" s="0" t="e">
        <f aca="true">OFFSET(A1,0,0,0,1)</f>
        <v>#VALUE!</v>
      </c>
    </row>
    <row r="1579" customFormat="false" ht="12.8" hidden="false" customHeight="false" outlineLevel="0" collapsed="false">
      <c r="K1579" s="0" t="s">
        <v>1576</v>
      </c>
      <c r="L1579" s="0" t="str">
        <f aca="false">ADDRESS(1,1)</f>
        <v>$A$1</v>
      </c>
    </row>
    <row r="1580" customFormat="false" ht="12.8" hidden="false" customHeight="false" outlineLevel="0" collapsed="false">
      <c r="K1580" s="0" t="s">
        <v>1577</v>
      </c>
      <c r="L1580" s="0" t="str">
        <f aca="false">ADDRESS(5,3,4)</f>
        <v>C5</v>
      </c>
    </row>
    <row r="1581" customFormat="false" ht="12.8" hidden="false" customHeight="false" outlineLevel="0" collapsed="false">
      <c r="K1581" s="0" t="s">
        <v>1578</v>
      </c>
      <c r="L1581" s="0" t="str">
        <f aca="false">ADDRESS(2,28,2)</f>
        <v>AB$2</v>
      </c>
    </row>
    <row r="1582" customFormat="false" ht="12.8" hidden="false" customHeight="false" outlineLevel="0" collapsed="false">
      <c r="K1582" s="0" t="s">
        <v>1579</v>
      </c>
      <c r="L1582" s="0" t="str">
        <f aca="false">ADDRESS(1,1,1,FALSE())</f>
        <v>R1C1</v>
      </c>
    </row>
    <row r="1583" customFormat="false" ht="12.8" hidden="false" customHeight="false" outlineLevel="0" collapsed="false">
      <c r="K1583" s="0" t="s">
        <v>1580</v>
      </c>
      <c r="L1583" s="0" t="str">
        <f aca="false">ADDRESS(1,1,1,TRUE(),"My Sheet")</f>
        <v>'My Sheet'.$A$1</v>
      </c>
    </row>
    <row r="1584" customFormat="false" ht="12.8" hidden="false" customHeight="false" outlineLevel="0" collapsed="false">
      <c r="K1584" s="0" t="s">
        <v>1581</v>
      </c>
      <c r="L1584" s="0" t="e">
        <f aca="false">ADDRESS(0,1)</f>
        <v>#VALUE!</v>
      </c>
    </row>
    <row r="1585" customFormat="false" ht="12.8" hidden="false" customHeight="false" outlineLevel="0" collapsed="false">
      <c r="K1585" s="0" t="s">
        <v>1582</v>
      </c>
      <c r="L1585" s="0" t="str">
        <f aca="false">ADDRESS(1,1,5)</f>
        <v>$A$1</v>
      </c>
    </row>
    <row r="1586" customFormat="false" ht="12.8" hidden="false" customHeight="false" outlineLevel="0" collapsed="false">
      <c r="K1586" s="0" t="s">
        <v>1583</v>
      </c>
      <c r="L1586" s="0" t="n">
        <f aca="false">SUM(TRANSPOSE(A1:A3))</f>
        <v>6</v>
      </c>
    </row>
    <row r="1587" customFormat="false" ht="12.8" hidden="false" customHeight="false" outlineLevel="0" collapsed="false">
      <c r="K1587" s="0" t="s">
        <v>1584</v>
      </c>
      <c r="L1587" s="0" t="n">
        <f aca="false">INDEX(TRANSPOSE(A1:A3),1,2)</f>
        <v>2</v>
      </c>
    </row>
    <row r="1588" customFormat="false" ht="12.8" hidden="false" customHeight="false" outlineLevel="0" collapsed="false">
      <c r="K1588" s="0" t="s">
        <v>1585</v>
      </c>
      <c r="L1588" s="0" t="n">
        <f aca="false">COLUMNS(TRANSPOSE(A1:A6))</f>
        <v>6</v>
      </c>
    </row>
    <row r="1589" customFormat="false" ht="12.8" hidden="false" customHeight="false" outlineLevel="0" collapsed="false">
      <c r="K1589" s="0" t="s">
        <v>1586</v>
      </c>
      <c r="L1589" s="0" t="n">
        <f aca="false">ROWS(TRANSPOSE(A1:C1))</f>
        <v>3</v>
      </c>
    </row>
    <row r="1590" customFormat="false" ht="12.8" hidden="false" customHeight="false" outlineLevel="0" collapsed="false">
      <c r="K1590" s="0" t="s">
        <v>1587</v>
      </c>
      <c r="L1590" s="0" t="n">
        <f aca="false">TRANSPOSE(A1:A3)</f>
        <v>1</v>
      </c>
    </row>
    <row r="1591" customFormat="false" ht="12.8" hidden="false" customHeight="false" outlineLevel="0" collapsed="false">
      <c r="K1591" s="0" t="s">
        <v>1588</v>
      </c>
      <c r="L1591" s="0" t="str">
        <f aca="false">HYPERLINK("http://x.y","click")</f>
        <v>click</v>
      </c>
    </row>
    <row r="1592" customFormat="false" ht="12.8" hidden="false" customHeight="false" outlineLevel="0" collapsed="false">
      <c r="K1592" s="0" t="s">
        <v>1589</v>
      </c>
      <c r="L1592" s="0" t="str">
        <f aca="false">HYPERLINK("http://x.y")</f>
        <v>http://x.y</v>
      </c>
    </row>
    <row r="1593" customFormat="false" ht="12.8" hidden="false" customHeight="false" outlineLevel="0" collapsed="false">
      <c r="K1593" s="0" t="s">
        <v>1590</v>
      </c>
      <c r="L1593" s="0" t="str">
        <f aca="false">HYPERLINK(B1,"go")</f>
        <v>go</v>
      </c>
    </row>
    <row r="1594" customFormat="false" ht="12.8" hidden="false" customHeight="false" outlineLevel="0" collapsed="false">
      <c r="K1594" s="0" t="s">
        <v>1591</v>
      </c>
      <c r="L1594" s="0" t="n">
        <f aca="false">HYPERLINK("u",A2)</f>
        <v>2</v>
      </c>
    </row>
    <row r="1595" customFormat="false" ht="12.8" hidden="false" customHeight="false" outlineLevel="0" collapsed="false">
      <c r="K1595" s="0" t="s">
        <v>1592</v>
      </c>
      <c r="L1595" s="0" t="n">
        <f aca="false">SUM(_xlfn.SEQUENCE(4))</f>
        <v>10</v>
      </c>
    </row>
    <row r="1596" customFormat="false" ht="12.8" hidden="false" customHeight="false" outlineLevel="0" collapsed="false">
      <c r="K1596" s="0" t="s">
        <v>1593</v>
      </c>
      <c r="L1596" s="0" t="n">
        <f aca="false">INDEX(_xlfn.SEQUENCE(3,4,10,5),2,3)</f>
        <v>40</v>
      </c>
    </row>
    <row r="1597" customFormat="false" ht="12.8" hidden="false" customHeight="false" outlineLevel="0" collapsed="false">
      <c r="K1597" s="0" t="s">
        <v>1594</v>
      </c>
      <c r="L1597" s="0" t="n">
        <f aca="false">ROWS(_xlfn.SEQUENCE(5,2))</f>
        <v>5</v>
      </c>
    </row>
    <row r="1598" customFormat="false" ht="12.8" hidden="false" customHeight="false" outlineLevel="0" collapsed="false">
      <c r="K1598" s="0" t="s">
        <v>1595</v>
      </c>
      <c r="L1598" s="0" t="n">
        <f aca="false">COLUMNS(_xlfn.SEQUENCE(5,2))</f>
        <v>2</v>
      </c>
    </row>
    <row r="1599" customFormat="false" ht="12.8" hidden="false" customHeight="false" outlineLevel="0" collapsed="false">
      <c r="K1599" s="0" t="s">
        <v>1596</v>
      </c>
      <c r="L1599" s="0" t="n">
        <f aca="false">SUM(_xlfn.SEQUENCE(2,2,0.5,0.25))</f>
        <v>3.5</v>
      </c>
    </row>
    <row r="1600" customFormat="false" ht="12.8" hidden="false" customHeight="false" outlineLevel="0" collapsed="false">
      <c r="K1600" s="0" t="s">
        <v>1597</v>
      </c>
      <c r="L1600" s="0" t="n">
        <f aca="false">_xlfn.SEQUENCE(1,1,7)</f>
        <v>7</v>
      </c>
    </row>
    <row r="1601" customFormat="false" ht="12.8" hidden="false" customHeight="false" outlineLevel="0" collapsed="false">
      <c r="K1601" s="0" t="s">
        <v>1598</v>
      </c>
      <c r="L1601" s="0" t="e">
        <f aca="false">_xlfn.SEQUENCE(0)</f>
        <v>#VALUE!</v>
      </c>
    </row>
    <row r="1602" customFormat="false" ht="12.8" hidden="false" customHeight="false" outlineLevel="0" collapsed="false">
      <c r="K1602" s="0" t="s">
        <v>1599</v>
      </c>
      <c r="L1602" s="0" t="e">
        <f aca="false">_xlfn.SEQUENCE(-1)</f>
        <v>#VALUE!</v>
      </c>
    </row>
    <row r="1603" customFormat="false" ht="12.8" hidden="false" customHeight="false" outlineLevel="0" collapsed="false">
      <c r="K1603" s="0" t="s">
        <v>1600</v>
      </c>
      <c r="L1603" s="0" t="n">
        <f aca="false">ROWS(_xlfn.RANDARRAY(3,2))</f>
        <v>3</v>
      </c>
    </row>
    <row r="1604" customFormat="false" ht="12.8" hidden="false" customHeight="false" outlineLevel="0" collapsed="false">
      <c r="K1604" s="0" t="s">
        <v>1601</v>
      </c>
      <c r="L1604" s="0" t="n">
        <f aca="false">COLUMNS(_xlfn.RANDARRAY(3,2))</f>
        <v>2</v>
      </c>
    </row>
    <row r="1605" customFormat="false" ht="12.8" hidden="false" customHeight="false" outlineLevel="0" collapsed="false">
      <c r="K1605" s="0" t="s">
        <v>1602</v>
      </c>
      <c r="L1605" s="0" t="n">
        <f aca="false">SUM(_xlfn.RANDARRAY(4,4,5,5))</f>
        <v>80</v>
      </c>
    </row>
    <row r="1606" customFormat="false" ht="12.8" hidden="false" customHeight="false" outlineLevel="0" collapsed="false">
      <c r="K1606" s="0" t="s">
        <v>1603</v>
      </c>
      <c r="L1606" s="0" t="n">
        <f aca="false">_xlfn.RANDARRAY(1,1,2,2,TRUE())</f>
        <v>2</v>
      </c>
    </row>
    <row r="1607" customFormat="false" ht="12.8" hidden="false" customHeight="false" outlineLevel="0" collapsed="false">
      <c r="K1607" s="0" t="s">
        <v>1604</v>
      </c>
      <c r="L1607" s="1" t="b">
        <f aca="false">MIN(_xlfn.RANDARRAY(10,1,1,3,TRUE()))&gt;=1</f>
        <v>1</v>
      </c>
    </row>
    <row r="1608" customFormat="false" ht="12.8" hidden="false" customHeight="false" outlineLevel="0" collapsed="false">
      <c r="K1608" s="0" t="s">
        <v>1605</v>
      </c>
      <c r="L1608" s="0" t="e">
        <f aca="false">_xlfn.RANDARRAY(2,2,5,1)</f>
        <v>#VALUE!</v>
      </c>
    </row>
    <row r="1609" customFormat="false" ht="12.8" hidden="false" customHeight="false" outlineLevel="0" collapsed="false">
      <c r="K1609" s="0" t="s">
        <v>1606</v>
      </c>
      <c r="L1609" s="0" t="n">
        <f aca="false">INDEX(_xlfn._xlws.SORT(C1:C6),1)</f>
        <v>-2</v>
      </c>
    </row>
    <row r="1610" customFormat="false" ht="12.8" hidden="false" customHeight="false" outlineLevel="0" collapsed="false">
      <c r="K1610" s="0" t="s">
        <v>1607</v>
      </c>
      <c r="L1610" s="0" t="n">
        <f aca="false">INDEX(_xlfn._xlws.SORT(C1:C6,1,-1),1)</f>
        <v>1000000</v>
      </c>
    </row>
    <row r="1611" customFormat="false" ht="12.8" hidden="false" customHeight="false" outlineLevel="0" collapsed="false">
      <c r="K1611" s="0" t="s">
        <v>1608</v>
      </c>
      <c r="L1611" s="0" t="str">
        <f aca="false">_xlfn.TEXTJOIN(",",TRUE(),_xlfn._xlws.SORT(B1:B6,1,-1))</f>
        <v>fig,elderberry,date,cherry,banana,apple</v>
      </c>
    </row>
    <row r="1612" customFormat="false" ht="12.8" hidden="false" customHeight="false" outlineLevel="0" collapsed="false">
      <c r="K1612" s="0" t="s">
        <v>1609</v>
      </c>
      <c r="L1612" s="0" t="str">
        <f aca="false">INDEX(_xlfn._xlws.SORT(A1:C6,3,1),2,2)</f>
        <v>cherry</v>
      </c>
    </row>
    <row r="1613" customFormat="false" ht="12.8" hidden="false" customHeight="false" outlineLevel="0" collapsed="false">
      <c r="K1613" s="0" t="s">
        <v>1610</v>
      </c>
      <c r="L1613" s="0" t="str">
        <f aca="false">INDEX(_xlfn._xlws.SORT(F1:G4,1,-1),1,2)</f>
        <v>four hundred</v>
      </c>
    </row>
    <row r="1614" customFormat="false" ht="12.8" hidden="false" customHeight="false" outlineLevel="0" collapsed="false">
      <c r="K1614" s="0" t="s">
        <v>1611</v>
      </c>
      <c r="L1614" s="0" t="n">
        <f aca="false">INDEX(_xlfn._xlws.SORT({3,1,2},1,1,TRUE()),1,3)</f>
        <v>3</v>
      </c>
    </row>
    <row r="1615" customFormat="false" ht="12.8" hidden="false" customHeight="false" outlineLevel="0" collapsed="false">
      <c r="K1615" s="0" t="s">
        <v>1612</v>
      </c>
      <c r="L1615" s="0" t="e">
        <f aca="false">_xlfn._xlws.SORT(A1:A6,2)</f>
        <v>#VALUE!</v>
      </c>
    </row>
    <row r="1616" customFormat="false" ht="12.8" hidden="false" customHeight="false" outlineLevel="0" collapsed="false">
      <c r="K1616" s="0" t="s">
        <v>1613</v>
      </c>
      <c r="L1616" s="0" t="e">
        <f aca="false">_xlfn._xlws.SORT(A1:A6,1,0)</f>
        <v>#VALUE!</v>
      </c>
    </row>
    <row r="1617" customFormat="false" ht="12.8" hidden="false" customHeight="false" outlineLevel="0" collapsed="false">
      <c r="K1617" s="0" t="s">
        <v>1614</v>
      </c>
      <c r="L1617" s="0" t="str">
        <f aca="false">INDEX(_xlfn.SORTBY(B1:B6,C1:C6),1)</f>
        <v>banana</v>
      </c>
    </row>
    <row r="1618" customFormat="false" ht="12.8" hidden="false" customHeight="false" outlineLevel="0" collapsed="false">
      <c r="K1618" s="0" t="s">
        <v>1615</v>
      </c>
      <c r="L1618" s="0" t="str">
        <f aca="false">INDEX(_xlfn.SORTBY(B1:B6,C1:C6,-1),1)</f>
        <v>fig</v>
      </c>
    </row>
    <row r="1619" customFormat="false" ht="12.8" hidden="false" customHeight="false" outlineLevel="0" collapsed="false">
      <c r="K1619" s="0" t="s">
        <v>1616</v>
      </c>
      <c r="L1619" s="0" t="str">
        <f aca="false">_xlfn.TEXTJOIN(",",TRUE(),_xlfn.SORTBY(G1:G4,F1:F4,-1))</f>
        <v>four hundred,three hundred,two hundred,one hundred</v>
      </c>
    </row>
    <row r="1620" customFormat="false" ht="12.8" hidden="false" customHeight="false" outlineLevel="0" collapsed="false">
      <c r="K1620" s="0" t="s">
        <v>1617</v>
      </c>
      <c r="L1620" s="0" t="n">
        <f aca="false">INDEX(_xlfn.SORTBY(A1:A6,{1;1;2;2;3;3},-1,A1:A6,1),1)</f>
        <v>5</v>
      </c>
    </row>
    <row r="1621" customFormat="false" ht="12.8" hidden="false" customHeight="false" outlineLevel="0" collapsed="false">
      <c r="K1621" s="0" t="s">
        <v>1618</v>
      </c>
      <c r="L1621" s="0" t="e">
        <f aca="false">_xlfn.SORTBY(A1:A6,A1:A3)</f>
        <v>#VALUE!</v>
      </c>
    </row>
    <row r="1622" customFormat="false" ht="12.8" hidden="false" customHeight="false" outlineLevel="0" collapsed="false">
      <c r="K1622" s="0" t="s">
        <v>1619</v>
      </c>
      <c r="L1622" s="0" t="e">
        <f aca="false">_xlfn.SORTBY(A1:A6,A1:A6,2)</f>
        <v>#VALUE!</v>
      </c>
    </row>
    <row r="1623" customFormat="false" ht="12.8" hidden="false" customHeight="false" outlineLevel="0" collapsed="false">
      <c r="K1623" s="0" t="s">
        <v>1620</v>
      </c>
      <c r="L1623" s="0" t="n">
        <f aca="false">SUM(_xlfn._xlws.FILTER(A1:A6,A1:A6&gt;3))</f>
        <v>15</v>
      </c>
    </row>
    <row r="1624" customFormat="false" ht="12.8" hidden="false" customHeight="false" outlineLevel="0" collapsed="false">
      <c r="K1624" s="0" t="s">
        <v>1621</v>
      </c>
      <c r="L1624" s="0" t="n">
        <f aca="false">ROWS(_xlfn._xlws.FILTER(B1:B6,C1:C6&gt;0))</f>
        <v>4</v>
      </c>
    </row>
    <row r="1625" customFormat="false" ht="12.8" hidden="false" customHeight="false" outlineLevel="0" collapsed="false">
      <c r="K1625" s="0" t="s">
        <v>1622</v>
      </c>
      <c r="L1625" s="0" t="str">
        <f aca="false">INDEX(_xlfn._xlws.FILTER(B1:B6,A1:A6=4),1)</f>
        <v>date</v>
      </c>
    </row>
    <row r="1626" customFormat="false" ht="12.8" hidden="false" customHeight="false" outlineLevel="0" collapsed="false">
      <c r="K1626" s="0" t="s">
        <v>1623</v>
      </c>
      <c r="L1626" s="0" t="str">
        <f aca="false">_xlfn.TEXTJOIN("-",TRUE(),_xlfn._xlws.FILTER(F1:F4,G1:G4&lt;&gt;"two hundred"))</f>
        <v>100-300-400</v>
      </c>
    </row>
    <row r="1627" customFormat="false" ht="12.8" hidden="false" customHeight="false" outlineLevel="0" collapsed="false">
      <c r="K1627" s="0" t="s">
        <v>1624</v>
      </c>
      <c r="L1627" s="0" t="str">
        <f aca="false">_xlfn._xlws.FILTER(A1:A6,A1:A6&gt;10,"none")</f>
        <v>none</v>
      </c>
    </row>
    <row r="1628" customFormat="false" ht="12.8" hidden="false" customHeight="false" outlineLevel="0" collapsed="false">
      <c r="K1628" s="0" t="s">
        <v>1625</v>
      </c>
      <c r="L1628" s="0" t="e">
        <f aca="false">_xlfn._xlws.FILTER(A1:A6,A1:A6&gt;10)</f>
        <v>#N/A</v>
      </c>
    </row>
    <row r="1629" customFormat="false" ht="12.8" hidden="false" customHeight="false" outlineLevel="0" collapsed="false">
      <c r="K1629" s="0" t="s">
        <v>1626</v>
      </c>
      <c r="L1629" s="0" t="e">
        <f aca="false">_xlfn._xlws.FILTER(A1:A6,A1:A3&gt;1)</f>
        <v>#VALUE!</v>
      </c>
    </row>
    <row r="1630" customFormat="false" ht="12.8" hidden="false" customHeight="false" outlineLevel="0" collapsed="false">
      <c r="K1630" s="0" t="s">
        <v>1627</v>
      </c>
      <c r="L1630" s="0" t="n">
        <f aca="false">ROWS(_xlfn.UNIQUE({1;2;2;3;1}))</f>
        <v>3</v>
      </c>
    </row>
    <row r="1631" customFormat="false" ht="12.8" hidden="false" customHeight="false" outlineLevel="0" collapsed="false">
      <c r="K1631" s="0" t="s">
        <v>1628</v>
      </c>
      <c r="L1631" s="0" t="n">
        <f aca="false">SUM(_xlfn.UNIQUE({1;2;2;3;1}))</f>
        <v>6</v>
      </c>
    </row>
    <row r="1632" customFormat="false" ht="12.8" hidden="false" customHeight="false" outlineLevel="0" collapsed="false">
      <c r="K1632" s="0" t="s">
        <v>1629</v>
      </c>
      <c r="L1632" s="0" t="n">
        <f aca="false">ROWS(_xlfn.UNIQUE({1;2;2;3;1},FALSE(),TRUE()))</f>
        <v>1</v>
      </c>
    </row>
    <row r="1633" customFormat="false" ht="12.8" hidden="false" customHeight="false" outlineLevel="0" collapsed="false">
      <c r="K1633" s="0" t="s">
        <v>1630</v>
      </c>
      <c r="L1633" s="0" t="str">
        <f aca="false">_xlfn.TEXTJOIN(",",TRUE(),_xlfn.UNIQUE({"a";"B";"A";"b"}))</f>
        <v>a,B</v>
      </c>
    </row>
    <row r="1634" customFormat="false" ht="12.8" hidden="false" customHeight="false" outlineLevel="0" collapsed="false">
      <c r="K1634" s="0" t="s">
        <v>1631</v>
      </c>
      <c r="L1634" s="0" t="n">
        <f aca="false">COLUMNS(_xlfn.UNIQUE({1,1,2},TRUE()))</f>
        <v>2</v>
      </c>
    </row>
    <row r="1635" customFormat="false" ht="12.8" hidden="false" customHeight="false" outlineLevel="0" collapsed="false">
      <c r="K1635" s="0" t="s">
        <v>1632</v>
      </c>
      <c r="L1635" s="0" t="n">
        <f aca="false">ROWS(_xlfn.UNIQUE(A1:A6))</f>
        <v>6</v>
      </c>
    </row>
    <row r="1636" customFormat="false" ht="12.8" hidden="false" customHeight="false" outlineLevel="0" collapsed="false">
      <c r="K1636" s="0" t="s">
        <v>1633</v>
      </c>
      <c r="L1636" s="0" t="e">
        <f aca="false">_xlfn.UNIQUE({1;1},FALSE(),TRUE())</f>
        <v>#N/A</v>
      </c>
    </row>
    <row r="1637" customFormat="false" ht="12.8" hidden="false" customHeight="false" outlineLevel="0" collapsed="false">
      <c r="K1637" s="0" t="s">
        <v>1634</v>
      </c>
      <c r="L1637" s="0" t="n">
        <f aca="false">SUM(TRANSPOSE(_xlfn.SEQUENCE(3)))</f>
        <v>6</v>
      </c>
    </row>
    <row r="1638" customFormat="false" ht="12.8" hidden="false" customHeight="false" outlineLevel="0" collapsed="false">
      <c r="K1638" s="0" t="s">
        <v>1635</v>
      </c>
      <c r="L1638" s="0" t="n">
        <f aca="false">INDEX(_xlfn.XLOOKUP(3,A1:A6,B1:C6),1,2)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226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7</v>
      </c>
      <c r="B1" s="0" t="s">
        <v>1636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